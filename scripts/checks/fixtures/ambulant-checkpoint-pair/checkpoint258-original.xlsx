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8bbe3a12b047f9" /></Relationships>
</file>

<file path=xl/workbook.xml><?xml version="1.0" encoding="utf-8"?>
<x:workbook xmlns:x="http://schemas.openxmlformats.org/spreadsheetml/2006/main">
  <x:sheets>
    <x:sheet xmlns:r="http://schemas.openxmlformats.org/officeDocument/2006/relationships" name="Aufgaben" sheetId="1" r:id="Reffbe97fa2a8415c"/>
    <x:sheet xmlns:r="http://schemas.openxmlformats.org/officeDocument/2006/relationships" name="Pakete" sheetId="2" r:id="R697dbad2c0e7461f"/>
    <x:sheet xmlns:r="http://schemas.openxmlformats.org/officeDocument/2006/relationships" name="Abnahme" sheetId="3" r:id="R7f767189947d4fb6"/>
    <x:sheet xmlns:r="http://schemas.openxmlformats.org/officeDocument/2006/relationships" name="Quellen" sheetId="4" r:id="R6e78d622033e4cc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72B3A"/>
      <x:name val="Arial"/>
    </x:font>
    <x:font>
      <x:b/>
      <x:sz val="16"/>
      <x:color rgb="FF183B50"/>
      <x:name val="Arial"/>
    </x:font>
    <x:font>
      <x:b/>
      <x:sz val="11"/>
      <x:color rgb="FFFFFFFF"/>
      <x:name val="Arial"/>
    </x:font>
    <x:font>
      <x:b/>
      <x:sz val="16"/>
      <x:color rgb="FF172B3A"/>
      <x:name val="Arial"/>
    </x:font>
  </x:fonts>
  <x:fills count="4">
    <x:fill>
      <x:patternFill patternType="none"/>
    </x:fill>
    <x:fill>
      <x:patternFill patternType="gray125"/>
    </x:fill>
    <x:fill>
      <x:patternFill patternType="solid">
        <x:fgColor rgb="FFFFF8E6"/>
      </x:patternFill>
    </x:fill>
    <x:fill>
      <x:patternFill patternType="solid">
        <x:fgColor rgb="FF183B50"/>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cellXfs>
  <x:cellStyles count="1">
    <x:cellStyle name="Normal" xfId="0"/>
  </x:cellStyles>
  <x:dxfs count="1">
    <x:dxf>
      <x:font>
        <x:b/>
        <x:color rgb="FF174A2B"/>
      </x:font>
      <x:fill>
        <x:patternFill>
          <x:bgColor rgb="FFDCEF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e4777cfce646ab" /><Relationship Type="http://schemas.openxmlformats.org/officeDocument/2006/relationships/theme" Target="/xl/theme/theme1.xml" Id="Rb859af35a6e94e3b" /><Relationship Type="http://schemas.openxmlformats.org/officeDocument/2006/relationships/sharedStrings" Target="/xl/sharedStrings.xml" Id="R6aa8f53cbd3249f4" /><Relationship Type="http://schemas.openxmlformats.org/officeDocument/2006/relationships/worksheet" Target="/xl/worksheets/sheet1.xml" Id="Reffbe97fa2a8415c" /><Relationship Type="http://schemas.openxmlformats.org/officeDocument/2006/relationships/worksheet" Target="/xl/worksheets/sheet2.xml" Id="R697dbad2c0e7461f" /><Relationship Type="http://schemas.openxmlformats.org/officeDocument/2006/relationships/worksheet" Target="/xl/worksheets/sheet3.xml" Id="R7f767189947d4fb6" /><Relationship Type="http://schemas.openxmlformats.org/officeDocument/2006/relationships/worksheet" Target="/xl/worksheets/sheet4.xml" Id="R6e78d622033e4ccb" /></Relationships>
</file>

<file path=xl/tables/table1.xml><?xml version="1.0" encoding="utf-8"?>
<x:table xmlns:x="http://schemas.openxmlformats.org/spreadsheetml/2006/main" id="1" name="Fachaufgaben" displayName="Fachaufgaben" ref="A8:O270" headerRowCount="1" totalsRowCount="0" totalsRowShown="0">
  <x:tableColumns count="15">
    <x:tableColumn id="1" name="ID"/>
    <x:tableColumn id="2" name="Bereich"/>
    <x:tableColumn id="3" name="Aufgabe"/>
    <x:tableColumn id="4" name="Daten und fachlicher Inhalt"/>
    <x:tableColumn id="5" name="Konkreter Abnahmefall"/>
    <x:tableColumn id="6" name="Paket"/>
    <x:tableColumn id="7" name="Voraussetzungen"/>
    <x:tableColumn id="8" name="Umsetzung"/>
    <x:tableColumn id="9" name="Funktion"/>
    <x:tableColumn id="10" name="Pflege"/>
    <x:tableColumn id="11" name="Design"/>
    <x:tableColumn id="12" name="Recht"/>
    <x:tableColumn id="13" name="Nachweis und offene Lücken"/>
    <x:tableColumn id="14" name="Abnahme"/>
    <x:tableColumn id="15" name="Nächster Schritt"/>
  </x:tableColumns>
  <x:tableStyleInfo name="TableStyleMedium2" showFirstColumn="0" showLastColumn="0" showRowStripes="1" showColumnStripes="0"/>
</x:table>
</file>

<file path=xl/tables/table2.xml><?xml version="1.0" encoding="utf-8"?>
<x:table xmlns:x="http://schemas.openxmlformats.org/spreadsheetml/2006/main" id="2" name="Arbeitspakete" displayName="Arbeitspakete" ref="A7:H104" headerRowCount="1" totalsRowCount="0" totalsRowShown="0">
  <x:tableColumns count="8">
    <x:tableColumn id="1" name="Paket"/>
    <x:tableColumn id="2" name="Bereich"/>
    <x:tableColumn id="3" name="Aufgaben-IDs"/>
    <x:tableColumn id="4" name="Arbeitsumfang"/>
    <x:tableColumn id="5" name="Voraussetzungen"/>
    <x:tableColumn id="6" name="Status"/>
    <x:tableColumn id="7" name="Nächste Tätigkeit"/>
    <x:tableColumn id="8" name="Abschlussbedingung"/>
  </x:tableColumns>
  <x:tableStyleInfo name="TableStyleMedium2" showFirstColumn="0" showLastColumn="0" showRowStripes="1" showColumnStripes="0"/>
</x:table>
</file>

<file path=xl/tables/table3.xml><?xml version="1.0" encoding="utf-8"?>
<x:table xmlns:x="http://schemas.openxmlformats.org/spreadsheetml/2006/main" id="3" name="GemeinsameAbnahme" displayName="GemeinsameAbnahme" ref="A6:F34" headerRowCount="1" totalsRowCount="0" totalsRowShown="0">
  <x:tableColumns count="6">
    <x:tableColumn id="1" name="ID"/>
    <x:tableColumn id="2" name="Prüfbereich"/>
    <x:tableColumn id="3" name="Prüfpunkt"/>
    <x:tableColumn id="4" name="Erforderlicher Nachweis"/>
    <x:tableColumn id="5" name="Status"/>
    <x:tableColumn id="6" name="Ergebnis und Beleg"/>
  </x:tableColumns>
  <x:tableStyleInfo name="TableStyleMedium2" showFirstColumn="0" showLastColumn="0" showRowStripes="1" showColumnStripes="0"/>
</x:table>
</file>

<file path=xl/tables/table4.xml><?xml version="1.0" encoding="utf-8"?>
<x:table xmlns:x="http://schemas.openxmlformats.org/spreadsheetml/2006/main" id="4" name="Quellenregister" displayName="Quellenregister" ref="A5:F20" headerRowCount="1" totalsRowCount="0" totalsRowShown="0">
  <x:tableColumns count="6">
    <x:tableColumn id="1" name="ID"/>
    <x:tableColumn id="2" name="Herausgeber"/>
    <x:tableColumn id="3" name="Unterlage"/>
    <x:tableColumn id="4" name="Tatsächlicher Recherchestand"/>
    <x:tableColumn id="5" name="Nächste Prüfung und Grenzen"/>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10f2f8a2e242c6" /></Relationships>
</file>

<file path=xl/worksheets/_rels/sheet2.xml.rels>&#65279;<?xml version="1.0" encoding="utf-8"?><Relationships xmlns="http://schemas.openxmlformats.org/package/2006/relationships"><Relationship Type="http://schemas.openxmlformats.org/officeDocument/2006/relationships/table" Target="/xl/tables/table2.xml" Id="R22257d24cdc24e13" /></Relationships>
</file>

<file path=xl/worksheets/_rels/sheet3.xml.rels>&#65279;<?xml version="1.0" encoding="utf-8"?><Relationships xmlns="http://schemas.openxmlformats.org/package/2006/relationships"><Relationship Type="http://schemas.openxmlformats.org/officeDocument/2006/relationships/table" Target="/xl/tables/table3.xml" Id="Rda7747868b4c4141" /></Relationships>
</file>

<file path=xl/worksheets/_rels/sheet4.xml.rels>&#65279;<?xml version="1.0" encoding="utf-8"?><Relationships xmlns="http://schemas.openxmlformats.org/package/2006/relationships"><Relationship Type="http://schemas.openxmlformats.org/officeDocument/2006/relationships/table" Target="/xl/tables/table4.xml" Id="R7b8fbc2d9b4040f0" /></Relationships>
</file>

<file path=xl/worksheets/sheet1.xml><?xml version="1.0" encoding="utf-8"?>
<x:worksheet xmlns:x="http://schemas.openxmlformats.org/spreadsheetml/2006/main">
  <x:sheetViews>
    <x:sheetView showGridLines="0" workbookViewId="0">
      <x:pane xSplit="3" ySplit="8" topLeftCell="D9" activePane="bottomRight" state="frozen"/>
    </x:sheetView>
  </x:sheetViews>
  <x:sheetFormatPr defaultRowHeight="15"/>
  <x:cols>
    <x:col min="1" max="1" width="11" hidden="0" customWidth="1"/>
    <x:col min="2" max="2" width="31" hidden="0" customWidth="1"/>
    <x:col min="3" max="3" width="35" hidden="0" customWidth="1"/>
    <x:col min="4" max="4" width="47" hidden="0" customWidth="1"/>
    <x:col min="5" max="5" width="63" hidden="0" customWidth="1"/>
    <x:col min="6" max="6" width="13" hidden="0" customWidth="1"/>
    <x:col min="7" max="7" width="31" hidden="0" customWidth="1"/>
    <x:col min="8" max="8" width="23" hidden="0" customWidth="1"/>
    <x:col min="9" max="9" width="18" hidden="0" customWidth="1"/>
    <x:col min="10" max="10" width="18" hidden="0" customWidth="1"/>
    <x:col min="11" max="11" width="18" hidden="0" customWidth="1"/>
    <x:col min="12" max="12" width="18" hidden="0" customWidth="1"/>
    <x:col min="13" max="13" width="58" hidden="0" customWidth="1"/>
    <x:col min="14" max="14" width="18" hidden="0" customWidth="1"/>
    <x:col min="15" max="15" width="62" hidden="0" customWidth="1"/>
  </x:cols>
  <x:sheetData>
    <x:row r="1" ht="24" customHeight="1">
      <x:c r="A1" s="11"/>
      <x:c r="B1" s="11"/>
      <x:c r="C1" s="11"/>
      <x:c r="D1" s="11"/>
      <x:c r="E1" s="11"/>
      <x:c r="F1" s="11"/>
      <x:c r="G1" s="11"/>
      <x:c r="H1" s="11"/>
      <x:c r="I1" s="11"/>
      <x:c r="J1" s="11"/>
      <x:c r="K1" s="11"/>
      <x:c r="L1" s="11"/>
      <x:c r="M1" s="11"/>
      <x:c r="N1" s="11"/>
      <x:c r="O1" s="11"/>
    </x:row>
    <x:row r="2" ht="30" customHeight="1">
      <x:c r="A2" s="12" t="str">
        <x:v>Pflegedienst ambulant – A–Z-Arbeitsliste</x:v>
      </x:c>
      <x:c r="B2" s="11"/>
      <x:c r="C2" s="11"/>
      <x:c r="D2" s="11"/>
      <x:c r="E2" s="11"/>
      <x:c r="F2" s="11"/>
      <x:c r="G2" s="11"/>
      <x:c r="H2" s="11"/>
      <x:c r="I2" s="11"/>
      <x:c r="J2" s="11"/>
      <x:c r="K2" s="11"/>
      <x:c r="L2" s="11"/>
      <x:c r="M2" s="11"/>
      <x:c r="N2" s="11"/>
      <x:c r="O2" s="11"/>
    </x:row>
    <x:row r="3" ht="24" customHeight="1">
      <x:c r="A3" s="11" t="str">
        <x:v>Stand 08.10.2026</x:v>
      </x:c>
      <x:c r="B3" s="11"/>
      <x:c r="C3" s="11"/>
      <x:c r="D3" s="11" t="str">
        <x:v>262 Fachaufgaben, 28 gemeinsame Prüfpunkte</x:v>
      </x:c>
      <x:c r="E3" s="11"/>
      <x:c r="F3" s="11"/>
      <x:c r="G3" s="11"/>
      <x:c r="H3" s="11" t="str">
        <x:v>Push und Deployment gesperrt</x:v>
      </x:c>
      <x:c r="I3" s="11"/>
      <x:c r="J3" s="11"/>
      <x:c r="K3" s="11"/>
      <x:c r="L3" s="11"/>
      <x:c r="M3" s="11"/>
      <x:c r="N3" s="11"/>
      <x:c r="O3" s="11"/>
    </x:row>
    <x:row r="4" ht="24" customHeight="1">
      <x:c r="A4" s="11" t="str">
        <x:v>Abnahme</x:v>
      </x:c>
      <x:c r="B4" s="11" t="n">
        <x:f>COUNTIFS(N9:N270,"Abgenommen")</x:f>
        <x:v>1</x:v>
      </x:c>
      <x:c r="C4" s="11"/>
      <x:c r="D4" s="11" t="str">
        <x:v>Offene Fachaufgaben</x:v>
      </x:c>
      <x:c r="E4" s="11" t="n">
        <x:f>COUNTIFS(N9:N270,"Offen")</x:f>
        <x:v>261</x:v>
      </x:c>
      <x:c r="F4" s="11"/>
      <x:c r="G4" s="11"/>
      <x:c r="H4" s="11"/>
      <x:c r="I4" s="11"/>
      <x:c r="J4" s="11"/>
      <x:c r="K4" s="11"/>
      <x:c r="L4" s="11"/>
      <x:c r="M4" s="11"/>
      <x:c r="N4" s="11"/>
      <x:c r="O4" s="11"/>
    </x:row>
    <x:row r="5" ht="24" customHeight="1">
      <x:c r="A5" s="11" t="str">
        <x:v>Abgenommen: umgesetzt, Funktion/Pflege/Design/Recht geprüft und konkreter Nachweis vorhanden. Einzeltests allein reichen nicht.</x:v>
      </x:c>
      <x:c r="B5" s="11"/>
      <x:c r="C5" s="11"/>
      <x:c r="D5" s="11"/>
      <x:c r="E5" s="11"/>
      <x:c r="F5" s="11"/>
      <x:c r="G5" s="11"/>
      <x:c r="H5" s="11"/>
      <x:c r="I5" s="11"/>
      <x:c r="J5" s="11"/>
      <x:c r="K5" s="11"/>
      <x:c r="L5" s="11"/>
      <x:c r="M5" s="11"/>
      <x:c r="N5" s="11"/>
      <x:c r="O5" s="11"/>
    </x:row>
    <x:row r="6" ht="24" customHeight="1">
      <x:c r="A6" s="11" t="str">
        <x:v>Neue Erkenntnisse erweitern den Katalog. Bei jedem Paket Originaldateien, Prüfnachweise und nächsten offenen Schritt sichern.</x:v>
      </x:c>
      <x:c r="B6" s="11"/>
      <x:c r="C6" s="11"/>
      <x:c r="D6" s="11"/>
      <x:c r="E6" s="11"/>
      <x:c r="F6" s="11"/>
      <x:c r="G6" s="11"/>
      <x:c r="H6" s="11"/>
      <x:c r="I6" s="11"/>
      <x:c r="J6" s="11"/>
      <x:c r="K6" s="11"/>
      <x:c r="L6" s="11"/>
      <x:c r="M6" s="11"/>
      <x:c r="N6" s="11"/>
      <x:c r="O6" s="11"/>
    </x:row>
    <x:row r="7" ht="44" customHeight="1">
      <x:c r="A7" s="3"/>
      <x:c r="B7" s="3"/>
      <x:c r="C7" s="3"/>
      <x:c r="D7" s="3"/>
      <x:c r="E7" s="3"/>
      <x:c r="F7" s="3"/>
      <x:c r="G7" s="3"/>
      <x:c r="H7" s="3"/>
      <x:c r="I7" s="3"/>
      <x:c r="J7" s="3"/>
      <x:c r="K7" s="3"/>
      <x:c r="L7" s="3"/>
      <x:c r="M7" s="3"/>
      <x:c r="N7" s="3"/>
      <x:c r="O7" s="3"/>
    </x:row>
    <x:row r="8" ht="34" customHeight="1">
      <x:c r="A8" s="9" t="str">
        <x:v>ID</x:v>
      </x:c>
      <x:c r="B8" s="9" t="str">
        <x:v>Bereich</x:v>
      </x:c>
      <x:c r="C8" s="9" t="str">
        <x:v>Aufgabe</x:v>
      </x:c>
      <x:c r="D8" s="9" t="str">
        <x:v>Daten und fachlicher Inhalt</x:v>
      </x:c>
      <x:c r="E8" s="9" t="str">
        <x:v>Konkreter Abnahmefall</x:v>
      </x:c>
      <x:c r="F8" s="9" t="str">
        <x:v>Paket</x:v>
      </x:c>
      <x:c r="G8" s="9" t="str">
        <x:v>Voraussetzungen</x:v>
      </x:c>
      <x:c r="H8" s="9" t="str">
        <x:v>Umsetzung</x:v>
      </x:c>
      <x:c r="I8" s="9" t="str">
        <x:v>Funktion</x:v>
      </x:c>
      <x:c r="J8" s="9" t="str">
        <x:v>Pflege</x:v>
      </x:c>
      <x:c r="K8" s="9" t="str">
        <x:v>Design</x:v>
      </x:c>
      <x:c r="L8" s="9" t="str">
        <x:v>Recht</x:v>
      </x:c>
      <x:c r="M8" s="9" t="str">
        <x:v>Nachweis und offene Lücken</x:v>
      </x:c>
      <x:c r="N8" s="9" t="str">
        <x:v>Abnahme</x:v>
      </x:c>
      <x:c r="O8" s="9" t="str">
        <x:v>Nächster Schritt</x:v>
      </x:c>
    </x:row>
    <x:row r="9" ht="44" customHeight="1">
      <x:c r="A9" s="3" t="str">
        <x:v>A-01</x:v>
      </x:c>
      <x:c r="B9" s="3" t="str">
        <x:v>A System und Organisation</x:v>
      </x:c>
      <x:c r="C9" s="3" t="str">
        <x:v>Mandant einrichten</x:v>
      </x:c>
      <x:c r="D9" s="3" t="str">
        <x:v>Dienst, Niederlassung, IK, Adressen, Verantwortliche</x:v>
      </x:c>
      <x:c r="E9" s="3" t="str">
        <x:v>Zwei Dienste anlegen und Datenzugriff zwischen ihnen verweigern.</x:v>
      </x:c>
      <x:c r="F9" s="3" t="str">
        <x:v>A-P01</x:v>
      </x:c>
      <x:c r="G9" s="3" t="str">
        <x:v>Keine fachliche Voraufgabe</x:v>
      </x:c>
      <x:c r="H9" s="5" t="str">
        <x:v>Bestand zu prüfen</x:v>
      </x:c>
      <x:c r="I9" s="5" t="str">
        <x:v>Offen</x:v>
      </x:c>
      <x:c r="J9" s="5" t="str">
        <x:v>Offen</x:v>
      </x:c>
      <x:c r="K9" s="5" t="str">
        <x:v>Offen</x:v>
      </x:c>
      <x:c r="L9" s="5" t="str">
        <x:v>Offen</x:v>
      </x:c>
      <x:c r="M9" s="5" t="str"/>
      <x:c r="N9" s="3" t="str">
        <x:f>IF(AND(H9="Umgesetzt",I9="Bestanden",OR(J9="Bestanden",J9="Entfällt geprüft"),OR(K9="Bestanden",K9="Entfällt geprüft"),OR(L9="Bestanden",L9="Entfällt geprüft"),M9&lt;&gt;""),"Abgenommen","Offen")</x:f>
        <x:v>Offen</x:v>
      </x:c>
      <x:c r="O9" s="3" t="str">
        <x:v>Bestehenden Ablauf für „Mandant einrichten“ prüfen. Fehlende Datenfelder und Einzelfälle ergänzen, anschließend den genannten Abnahmefall nachweisen.</x:v>
      </x:c>
    </x:row>
    <x:row r="10" ht="44" customHeight="1">
      <x:c r="A10" s="3" t="str">
        <x:v>A-02</x:v>
      </x:c>
      <x:c r="B10" s="3" t="str">
        <x:v>A System und Organisation</x:v>
      </x:c>
      <x:c r="C10" s="3" t="str">
        <x:v>Standorte verwalten</x:v>
      </x:c>
      <x:c r="D10" s="3" t="str">
        <x:v>Standort, Zuständigkeitsgebiet, Leitung, Dienstzeiten</x:v>
      </x:c>
      <x:c r="E10" s="3" t="str">
        <x:v>Standortwechsel übernimmt keine fremden Patienten oder Mitarbeiter.</x:v>
      </x:c>
      <x:c r="F10" s="3" t="str">
        <x:v>A-P01</x:v>
      </x:c>
      <x:c r="G10" s="3" t="str">
        <x:v>Keine fachliche Voraufgabe</x:v>
      </x:c>
      <x:c r="H10" s="5" t="str">
        <x:v>Bestand zu prüfen</x:v>
      </x:c>
      <x:c r="I10" s="5" t="str">
        <x:v>Offen</x:v>
      </x:c>
      <x:c r="J10" s="5" t="str">
        <x:v>Offen</x:v>
      </x:c>
      <x:c r="K10" s="5" t="str">
        <x:v>Offen</x:v>
      </x:c>
      <x:c r="L10" s="5" t="str">
        <x:v>Offen</x:v>
      </x:c>
      <x:c r="M10" s="5" t="str"/>
      <x:c r="N10" s="3" t="str">
        <x:f>IF(AND(H10="Umgesetzt",I10="Bestanden",OR(J10="Bestanden",J10="Entfällt geprüft"),OR(K10="Bestanden",K10="Entfällt geprüft"),OR(L10="Bestanden",L10="Entfällt geprüft"),M10&lt;&gt;""),"Abgenommen","Offen")</x:f>
        <x:v>Offen</x:v>
      </x:c>
      <x:c r="O10" s="3" t="str">
        <x:v>Bestehenden Ablauf für „Standorte verwalten“ prüfen. Fehlende Datenfelder und Einzelfälle ergänzen, anschließend den genannten Abnahmefall nachweisen.</x:v>
      </x:c>
    </x:row>
    <x:row r="11" ht="44" customHeight="1">
      <x:c r="A11" s="3" t="str">
        <x:v>A-03</x:v>
      </x:c>
      <x:c r="B11" s="3" t="str">
        <x:v>A System und Organisation</x:v>
      </x:c>
      <x:c r="C11" s="3" t="str">
        <x:v>Rollen und Rechte</x:v>
      </x:c>
      <x:c r="D11" s="3" t="str">
        <x:v>Rolle, Einzelrechte, Standort, Vertretung</x:v>
      </x:c>
      <x:c r="E11" s="3" t="str">
        <x:v>Lesen, Schreiben, Freigeben und Exportieren getrennt prüfen.</x:v>
      </x:c>
      <x:c r="F11" s="3" t="str">
        <x:v>A-P01</x:v>
      </x:c>
      <x:c r="G11" s="3" t="str">
        <x:v>Keine fachliche Voraufgabe</x:v>
      </x:c>
      <x:c r="H11" s="5" t="str">
        <x:v>Teilweise umgesetzt</x:v>
      </x:c>
      <x:c r="I11" s="5" t="str">
        <x:v>Teilprüfung</x:v>
      </x:c>
      <x:c r="J11" s="5" t="str">
        <x:v>Offen</x:v>
      </x:c>
      <x:c r="K11" s="5" t="str">
        <x:v>Offen</x:v>
      </x:c>
      <x:c r="L11" s="5" t="str">
        <x:v>Offen</x:v>
      </x:c>
      <x:c r="M11" s="5" t="str">
        <x:v>CP196: Serverbenutzer und aktives Profil mit nativer Mandanten-/Rollenrelation vor/nach Rechteabruf bestätigt. 32 neue lokale Fälle; SDK/RLS-Abnahme offen.</x:v>
      </x:c>
      <x:c r="N11" s="3" t="str">
        <x:f>IF(AND(H11="Umgesetzt",I11="Bestanden",OR(J11="Bestanden",J11="Entfällt geprüft"),OR(K11="Bestanden",K11="Entfällt geprüft"),OR(L11="Bestanden",L11="Entfällt geprüft"),M11&lt;&gt;""),"Abgenommen","Offen")</x:f>
        <x:v>Offen</x:v>
      </x:c>
      <x:c r="O11" s="3" t="str">
        <x:v>Geschützte Rollenvergabe, laufende Sperren, echte SDK/RLS, Browser und Feld-/Aktionsrechte prüfen; keine globale Freigabe.</x:v>
      </x:c>
    </x:row>
    <x:row r="12" ht="44" customHeight="1">
      <x:c r="A12" s="3" t="str">
        <x:v>A-04</x:v>
      </x:c>
      <x:c r="B12" s="3" t="str">
        <x:v>A System und Organisation</x:v>
      </x:c>
      <x:c r="C12" s="3" t="str">
        <x:v>Berechtigte Anmeldung</x:v>
      </x:c>
      <x:c r="D12" s="3" t="str">
        <x:v>Benutzer, aktives Profil, Sitzung, Sperrstatus</x:v>
      </x:c>
      <x:c r="E12" s="3" t="str">
        <x:v>Gesperrte und ausgeschiedene Personen erhalten keinen Zugriff.</x:v>
      </x:c>
      <x:c r="F12" s="3" t="str">
        <x:v>A-P02</x:v>
      </x:c>
      <x:c r="G12" s="3" t="str">
        <x:v>Keine fachliche Voraufgabe</x:v>
      </x:c>
      <x:c r="H12" s="5" t="str">
        <x:v>Teilweise umgesetzt</x:v>
      </x:c>
      <x:c r="I12" s="5" t="str">
        <x:v>Teilprüfung</x:v>
      </x:c>
      <x:c r="J12" s="5" t="str">
        <x:v>Offen</x:v>
      </x:c>
      <x:c r="K12" s="5" t="str">
        <x:v>Offen</x:v>
      </x:c>
      <x:c r="L12" s="5" t="str">
        <x:v>Offen</x:v>
      </x:c>
      <x:c r="M12" s="5" t="str">
        <x:v>CP196: Deaktiviertes, gesperrtes, fehlendes oder fremdes Serverprofil verweigert neue Webrechte; 15-s-Abbruch. 32 lokale Fälle; reale Sperrabnahme offen.</x:v>
      </x:c>
      <x:c r="N12" s="3" t="str">
        <x:f>IF(AND(H12="Umgesetzt",I12="Bestanden",OR(J12="Bestanden",J12="Entfällt geprüft"),OR(K12="Bestanden",K12="Entfällt geprüft"),OR(L12="Bestanden",L12="Entfällt geprüft"),M12&lt;&gt;""),"Abgenommen","Offen")</x:f>
        <x:v>Offen</x:v>
      </x:c>
      <x:c r="O12" s="3" t="str">
        <x:v>Sperr-/Austrittswege samt bestehenden Sitzungen, allen Altzugriffen und geschützter Rollenvergabe serverseitig nachweisen; Web/SQL/RLS/Fach/Recht offen.</x:v>
      </x:c>
    </x:row>
    <x:row r="13" ht="44" customHeight="1">
      <x:c r="A13" s="3" t="str">
        <x:v>A-05</x:v>
      </x:c>
      <x:c r="B13" s="3" t="str">
        <x:v>A System und Organisation</x:v>
      </x:c>
      <x:c r="C13" s="3" t="str">
        <x:v>Fachkonfiguration</x:v>
      </x:c>
      <x:c r="D13" s="3" t="str">
        <x:v>Dienstmodell, Leistungsarten, Dokumentationsmodell, Version</x:v>
      </x:c>
      <x:c r="E13" s="3" t="str">
        <x:v>Ungültige Konfiguration verhindert verbindliche Aktivierung.</x:v>
      </x:c>
      <x:c r="F13" s="3" t="str">
        <x:v>A-P02</x:v>
      </x:c>
      <x:c r="G13" s="3" t="str">
        <x:v>Keine fachliche Voraufgabe</x:v>
      </x:c>
      <x:c r="H13" s="5" t="str">
        <x:v>Bestand zu prüfen</x:v>
      </x:c>
      <x:c r="I13" s="5" t="str">
        <x:v>Offen</x:v>
      </x:c>
      <x:c r="J13" s="5" t="str">
        <x:v>Offen</x:v>
      </x:c>
      <x:c r="K13" s="5" t="str">
        <x:v>Offen</x:v>
      </x:c>
      <x:c r="L13" s="5" t="str">
        <x:v>Offen</x:v>
      </x:c>
      <x:c r="M13" s="5" t="str"/>
      <x:c r="N13" s="3" t="str">
        <x:f>IF(AND(H13="Umgesetzt",I13="Bestanden",OR(J13="Bestanden",J13="Entfällt geprüft"),OR(K13="Bestanden",K13="Entfällt geprüft"),OR(L13="Bestanden",L13="Entfällt geprüft"),M13&lt;&gt;""),"Abgenommen","Offen")</x:f>
        <x:v>Offen</x:v>
      </x:c>
      <x:c r="O13" s="3" t="str">
        <x:v>Bestehenden Ablauf für „Fachkonfiguration“ prüfen. Fehlende Datenfelder und Einzelfälle ergänzen, anschließend den genannten Abnahmefall nachweisen.</x:v>
      </x:c>
    </x:row>
    <x:row r="14" ht="44" customHeight="1">
      <x:c r="A14" s="3" t="str">
        <x:v>A-06</x:v>
      </x:c>
      <x:c r="B14" s="3" t="str">
        <x:v>A System und Organisation</x:v>
      </x:c>
      <x:c r="C14" s="3" t="str">
        <x:v>Katalogversionen</x:v>
      </x:c>
      <x:c r="D14" s="3" t="str">
        <x:v>Gültigkeitszeitraum, Änderungsgrund, verantwortliche Person</x:v>
      </x:c>
      <x:c r="E14" s="3" t="str">
        <x:v>Historische Dokumentation behält ihren damaligen Katalogstand.</x:v>
      </x:c>
      <x:c r="F14" s="3" t="str">
        <x:v>A-P02</x:v>
      </x:c>
      <x:c r="G14" s="3" t="str">
        <x:v>Keine fachliche Voraufgabe</x:v>
      </x:c>
      <x:c r="H14" s="5" t="str">
        <x:v>Bestand zu prüfen</x:v>
      </x:c>
      <x:c r="I14" s="5" t="str">
        <x:v>Offen</x:v>
      </x:c>
      <x:c r="J14" s="5" t="str">
        <x:v>Offen</x:v>
      </x:c>
      <x:c r="K14" s="5" t="str">
        <x:v>Offen</x:v>
      </x:c>
      <x:c r="L14" s="5" t="str">
        <x:v>Offen</x:v>
      </x:c>
      <x:c r="M14" s="5" t="str"/>
      <x:c r="N14" s="3" t="str">
        <x:f>IF(AND(H14="Umgesetzt",I14="Bestanden",OR(J14="Bestanden",J14="Entfällt geprüft"),OR(K14="Bestanden",K14="Entfällt geprüft"),OR(L14="Bestanden",L14="Entfällt geprüft"),M14&lt;&gt;""),"Abgenommen","Offen")</x:f>
        <x:v>Offen</x:v>
      </x:c>
      <x:c r="O14" s="3" t="str">
        <x:v>Bestehenden Ablauf für „Katalogversionen“ prüfen. Fehlende Datenfelder und Einzelfälle ergänzen, anschließend den genannten Abnahmefall nachweisen.</x:v>
      </x:c>
    </x:row>
    <x:row r="15" ht="44" customHeight="1">
      <x:c r="A15" s="3" t="str">
        <x:v>A-07</x:v>
      </x:c>
      <x:c r="B15" s="3" t="str">
        <x:v>A System und Organisation</x:v>
      </x:c>
      <x:c r="C15" s="3" t="str">
        <x:v>Organisationswechsel</x:v>
      </x:c>
      <x:c r="D15" s="3" t="str">
        <x:v>Mandant, Standort, Benutzerkontext, ungespeicherter Entwurf</x:v>
      </x:c>
      <x:c r="E15" s="3" t="str">
        <x:v>Gewechselter Kontext löscht fremde Anzeigen und sperrt fremde Schreibvorgänge.</x:v>
      </x:c>
      <x:c r="F15" s="3" t="str">
        <x:v>A-P03</x:v>
      </x:c>
      <x:c r="G15" s="3" t="str">
        <x:v>Keine fachliche Voraufgabe</x:v>
      </x:c>
      <x:c r="H15" s="5" t="str">
        <x:v>Teilweise umgesetzt</x:v>
      </x:c>
      <x:c r="I15" s="5" t="str">
        <x:v>Teilprüfung</x:v>
      </x:c>
      <x:c r="J15" s="5" t="str">
        <x:v>Offen</x:v>
      </x:c>
      <x:c r="K15" s="5" t="str">
        <x:v>Offen</x:v>
      </x:c>
      <x:c r="L15" s="5" t="str">
        <x:v>Offen</x:v>
      </x:c>
      <x:c r="M15" s="5" t="str">
        <x:v>CP126: Benutzer-/Mandant-/Rollen-/Tokenwechsel entwertet alte Rechte und Aktenbelege. Lokale Übergangsprüfungen bestanden; React/Browser offen.</x:v>
      </x:c>
      <x:c r="N15" s="3" t="str">
        <x:f>IF(AND(H15="Umgesetzt",I15="Bestanden",OR(J15="Bestanden",J15="Entfällt geprüft"),OR(K15="Bestanden",K15="Entfällt geprüft"),OR(L15="Bestanden",L15="Entfällt geprüft"),M15&lt;&gt;""),"Abgenommen","Offen")</x:f>
        <x:v>Offen</x:v>
      </x:c>
      <x:c r="O15" s="3" t="str">
        <x:v>Tatsächliche Übergänge, Entwurfserhalt, Layout sowie Organisations-/Standortwechsel prüfen; keine Gesamtfreigabe.</x:v>
      </x:c>
    </x:row>
    <x:row r="16" ht="44" customHeight="1">
      <x:c r="A16" s="3" t="str">
        <x:v>A-08</x:v>
      </x:c>
      <x:c r="B16" s="3" t="str">
        <x:v>A System und Organisation</x:v>
      </x:c>
      <x:c r="C16" s="3" t="str">
        <x:v>Arbeitsübersicht</x:v>
      </x:c>
      <x:c r="D16" s="3" t="str">
        <x:v>Aufgaben, Fristen, kritische Rückmeldungen, Zuständigkeit</x:v>
      </x:c>
      <x:c r="E16" s="3" t="str">
        <x:v>Jeder Eintrag führt zur tatsächlichen offenen Aufgabe mit prüfbarem Status.</x:v>
      </x:c>
      <x:c r="F16" s="3" t="str">
        <x:v>A-P03</x:v>
      </x:c>
      <x:c r="G16" s="3" t="str">
        <x:v>Keine fachliche Voraufgabe</x:v>
      </x:c>
      <x:c r="H16" s="5" t="str">
        <x:v>Bestand zu prüfen</x:v>
      </x:c>
      <x:c r="I16" s="5" t="str">
        <x:v>Offen</x:v>
      </x:c>
      <x:c r="J16" s="5" t="str">
        <x:v>Offen</x:v>
      </x:c>
      <x:c r="K16" s="5" t="str">
        <x:v>Offen</x:v>
      </x:c>
      <x:c r="L16" s="5" t="str">
        <x:v>Offen</x:v>
      </x:c>
      <x:c r="M16" s="5" t="str"/>
      <x:c r="N16" s="3" t="str">
        <x:f>IF(AND(H16="Umgesetzt",I16="Bestanden",OR(J16="Bestanden",J16="Entfällt geprüft"),OR(K16="Bestanden",K16="Entfällt geprüft"),OR(L16="Bestanden",L16="Entfällt geprüft"),M16&lt;&gt;""),"Abgenommen","Offen")</x:f>
        <x:v>Offen</x:v>
      </x:c>
      <x:c r="O16" s="3" t="str">
        <x:v>Bestehenden Ablauf für „Arbeitsübersicht“ prüfen. Fehlende Datenfelder und Einzelfälle ergänzen, anschließend den genannten Abnahmefall nachweisen.</x:v>
      </x:c>
    </x:row>
    <x:row r="17" ht="155" customHeight="1">
      <x:c r="A17" s="3" t="str">
        <x:v>A-09</x:v>
      </x:c>
      <x:c r="B17" s="3" t="str">
        <x:v>A System und Organisation</x:v>
      </x:c>
      <x:c r="C17" s="3" t="str">
        <x:v>Dauerhafte Arbeitsfortsetzung</x:v>
      </x:c>
      <x:c r="D17" s="3" t="str">
        <x:v>Anforderungs-ID, Änderung, Prüfstand, nächster Schritt, Sicherungsdatei</x:v>
      </x:c>
      <x:c r="E17" s="3" t="str">
        <x:v>Nach Sitzungsabbruch lässt sich derselbe offene Arbeitspunkt aus gesicherten Dateien fortsetzen.</x:v>
      </x:c>
      <x:c r="F17" s="3" t="str">
        <x:v>A-P03</x:v>
      </x:c>
      <x:c r="G17" s="3" t="str">
        <x:v>Keine fachliche Voraufgabe</x:v>
      </x:c>
      <x:c r="H17" s="5" t="str">
        <x:v>Umgesetzt</x:v>
      </x:c>
      <x:c r="I17" s="5" t="str">
        <x:v>Bestanden</x:v>
      </x:c>
      <x:c r="J17" s="5" t="str">
        <x:v>Entfällt geprüft</x:v>
      </x:c>
      <x:c r="K17" s="5" t="str">
        <x:v>Entfällt geprüft</x:v>
      </x:c>
      <x:c r="L17" s="5" t="str">
        <x:v>Entfällt geprüft</x:v>
      </x:c>
      <x:c r="M17" s="5" t="str">
        <x:v>Checkpoint 12: Checkpoint 11 tatsächlich in getrenntem lokalem Bare-Repository wiederhergestellt; Commit, 262 Aufgaben und konkreter nächster Arbeitspunkt geprüft. Beleg docs/audit/checks/ambulant-checkpoint-restoration-2026-10-08.json. Reiner interner Quellcode-/Arbeitsstatus-Checkpoint ohne Patientenakten; pflegerische, Produktoberflächen- und klinisch/rechtliche Prüfung für diesen internen Einzelfall nicht einschlägig. Kein Nachweis einer Datenbank-/Storage-Wiederherstellung.</x:v>
      </x:c>
      <x:c r="N17" s="3" t="str">
        <x:f>IF(AND(H17="Umgesetzt",I17="Bestanden",OR(J17="Bestanden",J17="Entfällt geprüft"),OR(K17="Bestanden",K17="Entfällt geprüft"),OR(L17="Bestanden",L17="Entfällt geprüft"),M17&lt;&gt;""),"Abgenommen","Offen")</x:f>
        <x:v>Abgenommen</x:v>
      </x:c>
      <x:c r="O17" s="3" t="str">
        <x:v>Bei jedem weiteren Arbeitsstand nachvollziehbare Änderungen, Prüfstand und nächsten Punkt sichern. Y-06 für produktive Daten-/Storage-Wiederherstellung separat abarbeiten.</x:v>
      </x:c>
    </x:row>
    <x:row r="18" ht="44" customHeight="1">
      <x:c r="A18" s="3" t="str">
        <x:v>A-10</x:v>
      </x:c>
      <x:c r="B18" s="3" t="str">
        <x:v>A System und Organisation</x:v>
      </x:c>
      <x:c r="C18" s="3" t="str">
        <x:v>Funktionsinventar abgleichen</x:v>
      </x:c>
      <x:c r="D18" s="3" t="str">
        <x:v>Navigationspunkt, tatsächlicher Datenpfad, Schreibweg, Implementierungsstand</x:v>
      </x:c>
      <x:c r="E18" s="3" t="str">
        <x:v>Sichtbarer Menüpunkt zählt erst mit vollständigem realen Ablauf als umgesetzt.</x:v>
      </x:c>
      <x:c r="F18" s="3" t="str">
        <x:v>A-P04</x:v>
      </x:c>
      <x:c r="G18" s="3" t="str">
        <x:v>Keine fachliche Voraufgabe</x:v>
      </x:c>
      <x:c r="H18" s="5" t="str">
        <x:v>Bestand zu prüfen</x:v>
      </x:c>
      <x:c r="I18" s="5" t="str">
        <x:v>Offen</x:v>
      </x:c>
      <x:c r="J18" s="5" t="str">
        <x:v>Offen</x:v>
      </x:c>
      <x:c r="K18" s="5" t="str">
        <x:v>Offen</x:v>
      </x:c>
      <x:c r="L18" s="5" t="str">
        <x:v>Offen</x:v>
      </x:c>
      <x:c r="M18" s="5" t="str"/>
      <x:c r="N18" s="3" t="str">
        <x:f>IF(AND(H18="Umgesetzt",I18="Bestanden",OR(J18="Bestanden",J18="Entfällt geprüft"),OR(K18="Bestanden",K18="Entfällt geprüft"),OR(L18="Bestanden",L18="Entfällt geprüft"),M18&lt;&gt;""),"Abgenommen","Offen")</x:f>
        <x:v>Offen</x:v>
      </x:c>
      <x:c r="O18" s="3" t="str">
        <x:v>Bestehenden Ablauf für „Funktionsinventar abgleichen“ prüfen. Fehlende Datenfelder und Einzelfälle ergänzen, anschließend den genannten Abnahmefall nachweisen.</x:v>
      </x:c>
    </x:row>
    <x:row r="19" ht="44" customHeight="1">
      <x:c r="A19" s="3" t="str">
        <x:v>B-01</x:v>
      </x:c>
      <x:c r="B19" s="3" t="str">
        <x:v>B Aufnahme und Stammdaten</x:v>
      </x:c>
      <x:c r="C19" s="3" t="str">
        <x:v>Anfrage und Erstkontakt</x:v>
      </x:c>
      <x:c r="D19" s="3" t="str">
        <x:v>Kontaktquelle, Anliegen, Rückruf, Dringlichkeit</x:v>
      </x:c>
      <x:c r="E19" s="3" t="str">
        <x:v>Anfrage kann nachvollziehbar angenommen, zurückgestellt oder abgelehnt werden.</x:v>
      </x:c>
      <x:c r="F19" s="3" t="str">
        <x:v>B-P01</x:v>
      </x:c>
      <x:c r="G19" s="3" t="str">
        <x:v>A-03, A-04</x:v>
      </x:c>
      <x:c r="H19" s="5" t="str">
        <x:v>Bestand zu prüfen</x:v>
      </x:c>
      <x:c r="I19" s="5" t="str">
        <x:v>Offen</x:v>
      </x:c>
      <x:c r="J19" s="5" t="str">
        <x:v>Offen</x:v>
      </x:c>
      <x:c r="K19" s="5" t="str">
        <x:v>Offen</x:v>
      </x:c>
      <x:c r="L19" s="5" t="str">
        <x:v>Offen</x:v>
      </x:c>
      <x:c r="M19" s="5" t="str"/>
      <x:c r="N19" s="3" t="str">
        <x:f>IF(AND(H19="Umgesetzt",I19="Bestanden",OR(J19="Bestanden",J19="Entfällt geprüft"),OR(K19="Bestanden",K19="Entfällt geprüft"),OR(L19="Bestanden",L19="Entfällt geprüft"),M19&lt;&gt;""),"Abgenommen","Offen")</x:f>
        <x:v>Offen</x:v>
      </x:c>
      <x:c r="O19" s="3" t="str">
        <x:v>Bestehenden Ablauf für „Anfrage und Erstkontakt“ prüfen. Fehlende Datenfelder und Einzelfälle ergänzen, anschließend den genannten Abnahmefall nachweisen.</x:v>
      </x:c>
    </x:row>
    <x:row r="20" ht="44" customHeight="1">
      <x:c r="A20" s="3" t="str">
        <x:v>B-02</x:v>
      </x:c>
      <x:c r="B20" s="3" t="str">
        <x:v>B Aufnahme und Stammdaten</x:v>
      </x:c>
      <x:c r="C20" s="3" t="str">
        <x:v>Person eindeutig anlegen</x:v>
      </x:c>
      <x:c r="D20" s="3" t="str">
        <x:v>Identität, Geburtsdatum, Versicherungsnummer, Dublettenhinweis</x:v>
      </x:c>
      <x:c r="E20" s="3" t="str">
        <x:v>Ähnliche Namen führen nicht zu stiller Zusammenführung.</x:v>
      </x:c>
      <x:c r="F20" s="3" t="str">
        <x:v>B-P01</x:v>
      </x:c>
      <x:c r="G20" s="3" t="str">
        <x:v>A-03, A-04</x:v>
      </x:c>
      <x:c r="H20" s="5" t="str">
        <x:v>Bestand zu prüfen</x:v>
      </x:c>
      <x:c r="I20" s="5" t="str">
        <x:v>Offen</x:v>
      </x:c>
      <x:c r="J20" s="5" t="str">
        <x:v>Offen</x:v>
      </x:c>
      <x:c r="K20" s="5" t="str">
        <x:v>Offen</x:v>
      </x:c>
      <x:c r="L20" s="5" t="str">
        <x:v>Offen</x:v>
      </x:c>
      <x:c r="M20" s="5" t="str"/>
      <x:c r="N20" s="3" t="str">
        <x:f>IF(AND(H20="Umgesetzt",I20="Bestanden",OR(J20="Bestanden",J20="Entfällt geprüft"),OR(K20="Bestanden",K20="Entfällt geprüft"),OR(L20="Bestanden",L20="Entfällt geprüft"),M20&lt;&gt;""),"Abgenommen","Offen")</x:f>
        <x:v>Offen</x:v>
      </x:c>
      <x:c r="O20" s="3" t="str">
        <x:v>Bestehenden Ablauf für „Person eindeutig anlegen“ prüfen. Fehlende Datenfelder und Einzelfälle ergänzen, anschließend den genannten Abnahmefall nachweisen.</x:v>
      </x:c>
    </x:row>
    <x:row r="21" ht="44" customHeight="1">
      <x:c r="A21" s="3" t="str">
        <x:v>B-03</x:v>
      </x:c>
      <x:c r="B21" s="3" t="str">
        <x:v>B Aufnahme und Stammdaten</x:v>
      </x:c>
      <x:c r="C21" s="3" t="str">
        <x:v>Kontakt und Wohnsituation</x:v>
      </x:c>
      <x:c r="D21" s="3" t="str">
        <x:v>Adresse, Etage, Zugang, Erreichbarkeit, Haushaltskontext</x:v>
      </x:c>
      <x:c r="E21" s="3" t="str">
        <x:v>Adressänderung erreicht Planung ohne historische Besuche umzuschreiben.</x:v>
      </x:c>
      <x:c r="F21" s="3" t="str">
        <x:v>B-P01</x:v>
      </x:c>
      <x:c r="G21" s="3" t="str">
        <x:v>A-03, A-04</x:v>
      </x:c>
      <x:c r="H21" s="5" t="str">
        <x:v>Bestand zu prüfen</x:v>
      </x:c>
      <x:c r="I21" s="5" t="str">
        <x:v>Offen</x:v>
      </x:c>
      <x:c r="J21" s="5" t="str">
        <x:v>Offen</x:v>
      </x:c>
      <x:c r="K21" s="5" t="str">
        <x:v>Offen</x:v>
      </x:c>
      <x:c r="L21" s="5" t="str">
        <x:v>Offen</x:v>
      </x:c>
      <x:c r="M21" s="5" t="str"/>
      <x:c r="N21" s="3" t="str">
        <x:f>IF(AND(H21="Umgesetzt",I21="Bestanden",OR(J21="Bestanden",J21="Entfällt geprüft"),OR(K21="Bestanden",K21="Entfällt geprüft"),OR(L21="Bestanden",L21="Entfällt geprüft"),M21&lt;&gt;""),"Abgenommen","Offen")</x:f>
        <x:v>Offen</x:v>
      </x:c>
      <x:c r="O21" s="3" t="str">
        <x:v>Bestehenden Ablauf für „Kontakt und Wohnsituation“ prüfen. Fehlende Datenfelder und Einzelfälle ergänzen, anschließend den genannten Abnahmefall nachweisen.</x:v>
      </x:c>
    </x:row>
    <x:row r="22" ht="44" customHeight="1">
      <x:c r="A22" s="3" t="str">
        <x:v>B-04</x:v>
      </x:c>
      <x:c r="B22" s="3" t="str">
        <x:v>B Aufnahme und Stammdaten</x:v>
      </x:c>
      <x:c r="C22" s="3" t="str">
        <x:v>Vertretung und Angehörige</x:v>
      </x:c>
      <x:c r="D22" s="3" t="str">
        <x:v>Beziehung, Vollmacht, Gültigkeit, Umfang, Kontakt</x:v>
      </x:c>
      <x:c r="E22" s="3" t="str">
        <x:v>Angehörigenstatus allein erlaubt keinen Aktenzugriff.</x:v>
      </x:c>
      <x:c r="F22" s="3" t="str">
        <x:v>B-P02</x:v>
      </x:c>
      <x:c r="G22" s="3" t="str">
        <x:v>A-03, A-04</x:v>
      </x:c>
      <x:c r="H22" s="5" t="str">
        <x:v>Teilweise umgesetzt</x:v>
      </x:c>
      <x:c r="I22" s="5" t="str">
        <x:v>Teilprüfung</x:v>
      </x:c>
      <x:c r="J22" s="5" t="str">
        <x:v>Offen</x:v>
      </x:c>
      <x:c r="K22" s="5" t="str">
        <x:v>Offen</x:v>
      </x:c>
      <x:c r="L22" s="5" t="str">
        <x:v>Offen</x:v>
      </x:c>
      <x:c r="M22" s="5" t="str">
        <x:v>CP155: Kontaktansicht trennt Beziehung und gespeicherte Portalvermerke von Zugang/Vertretung. Native Kennungen und Originale erhalten; 72 neue Fälle, 6505 Tests.</x:v>
      </x:c>
      <x:c r="N22" s="3" t="str">
        <x:f>IF(AND(H22="Umgesetzt",I22="Bestanden",OR(J22="Bestanden",J22="Entfällt geprüft"),OR(K22="Bestanden",K22="Entfällt geprüft"),OR(L22="Bestanden",L22="Entfällt geprüft"),M22&lt;&gt;""),"Abgenommen","Offen")</x:f>
        <x:v>Offen</x:v>
      </x:c>
      <x:c r="O22" s="3" t="str">
        <x:v>Vollmacht, Umfang, Laufzeit und Widerruf mit echten Originalbelegen prüfen. Kontaktvermerke erteilen keine Rechte; Browser/Layout, SQL/RLS und Fach-/Rechtsabnahme offen.</x:v>
      </x:c>
    </x:row>
    <x:row r="23" ht="44" customHeight="1">
      <x:c r="A23" s="3" t="str">
        <x:v>B-05</x:v>
      </x:c>
      <x:c r="B23" s="3" t="str">
        <x:v>B Aufnahme und Stammdaten</x:v>
      </x:c>
      <x:c r="C23" s="3" t="str">
        <x:v>Ärztliche und weitere Kontakte</x:v>
      </x:c>
      <x:c r="D23" s="3" t="str">
        <x:v>Hausarzt, Facharzt, Apotheke, Therapie, Sanitätshaus</x:v>
      </x:c>
      <x:c r="E23" s="3" t="str">
        <x:v>Kontaktdaten, Zuständigkeit und sichere Kontaktwege bleiben unterscheidbar.</x:v>
      </x:c>
      <x:c r="F23" s="3" t="str">
        <x:v>B-P02</x:v>
      </x:c>
      <x:c r="G23" s="3" t="str">
        <x:v>A-03, A-04</x:v>
      </x:c>
      <x:c r="H23" s="5" t="str">
        <x:v>Teilweise umgesetzt</x:v>
      </x:c>
      <x:c r="I23" s="5" t="str">
        <x:v>Teilprüfung</x:v>
      </x:c>
      <x:c r="J23" s="5" t="str">
        <x:v>Offen</x:v>
      </x:c>
      <x:c r="K23" s="5" t="str">
        <x:v>Offen</x:v>
      </x:c>
      <x:c r="L23" s="5" t="str">
        <x:v>Offen</x:v>
      </x:c>
      <x:c r="M23" s="5" t="str">
        <x:v>CP155: Alle gelieferten Kontakte mit Kategorie, Beziehung und Erreichbarkeit getrennt anzeigen; keine Namens-Deduplizierung. 72 neue Fälle, 6505 Tests; native Prüfung53/8.</x:v>
      </x:c>
      <x:c r="N23" s="3" t="str">
        <x:f>IF(AND(H23="Umgesetzt",I23="Bestanden",OR(J23="Bestanden",J23="Entfällt geprüft"),OR(K23="Bestanden",K23="Entfällt geprüft"),OR(L23="Bestanden",L23="Entfällt geprüft"),M23&lt;&gt;""),"Abgenommen","Offen")</x:f>
        <x:v>Offen</x:v>
      </x:c>
      <x:c r="O23" s="3" t="str">
        <x:v>Zuständigkeit und sichere Kontaktwege fachlich nachweisen. Anzeige ist gespeicherter Lesestand, keine tatsächliche Kontaktaufnahme. Browser/Layout, SQL/RLS und Pflege-/Rechtsabnahme offen.</x:v>
      </x:c>
    </x:row>
    <x:row r="24" ht="44" customHeight="1">
      <x:c r="A24" s="3" t="str">
        <x:v>B-06</x:v>
      </x:c>
      <x:c r="B24" s="3" t="str">
        <x:v>B Aufnahme und Stammdaten</x:v>
      </x:c>
      <x:c r="C24" s="3" t="str">
        <x:v>Diagnosen und Allergien</x:v>
      </x:c>
      <x:c r="D24" s="3" t="str">
        <x:v>Diagnose, Quelle, Datum, Allergie, Unverträglichkeit, ungeklärter Hinweis</x:v>
      </x:c>
      <x:c r="E24" s="3" t="str">
        <x:v>Unbekannt ist sichtbar und wird nicht als keine Allergie ausgegeben.</x:v>
      </x:c>
      <x:c r="F24" s="3" t="str">
        <x:v>B-P02</x:v>
      </x:c>
      <x:c r="G24" s="3" t="str">
        <x:v>A-03, A-04</x:v>
      </x:c>
      <x:c r="H24" s="5" t="str">
        <x:v>Teilweise umgesetzt</x:v>
      </x:c>
      <x:c r="I24" s="5" t="str">
        <x:v>Teilprüfung</x:v>
      </x:c>
      <x:c r="J24" s="5" t="str">
        <x:v>Offen</x:v>
      </x:c>
      <x:c r="K24" s="5" t="str">
        <x:v>Offen</x:v>
      </x:c>
      <x:c r="L24" s="5" t="str">
        <x:v>Offen</x:v>
      </x:c>
      <x:c r="M24" s="5" t="str">
        <x:v>CP176: Gespeicherter Allergie-/Unverträglichkeitstext wird aus dem vollständigen eigenen nativen Client-Original unter aktuellem View-/Sensitive-/Owner-/Ticket-/Source-Lifetime-Guard im bestehenden Office-Überblick angezeigt. Missing, own undefined, null, leer, unveränderter Text und ungeklärtes Originalformat bleiben getrennt; allgemeine Aktenmetadaten bleiben rohe Metadaten und werden weder Feldautorschaft noch klinische Zeit. Ganze unbekannte Originalextras und Mikrosekunden bleiben privat erhalten. 77 neue sinnvolle Fälle; Gesamtlauf 8148/8148; Root-Nativeproof 237 Checks in 18 Szenarien, 0 Writes/0 RPC/0 neue Querytypen. Kein Diagnosenworkflow, keine Allergiefreiheit, keine Durchführung, Freigabe oder Aufgabenabschluss abgeleitet. Actual React, Browser/Layout, deployed SQL/RLS, Pflege-, Design- und Rechtsabnahme offen.</x:v>
      </x:c>
      <x:c r="N24" s="3" t="str">
        <x:f>IF(AND(H24="Umgesetzt",I24="Bestanden",OR(J24="Bestanden",J24="Entfällt geprüft"),OR(K24="Bestanden",K24="Entfällt geprüft"),OR(L24="Bestanden",L24="Entfällt geprüft"),M24&lt;&gt;""),"Abgenommen","Offen")</x:f>
        <x:v>Offen</x:v>
      </x:c>
      <x:c r="O24" s="3" t="str">
        <x:v>Diagnosen, Quellen, fachliche Datumsbedeutungen und vollständige Allergiehistorien im tatsächlich gelieferten nativen Bestand getrennt prüfen; keine Angaben aus Freitext rekonstruieren. Danach echten React-/Browser-/breiten und schmalen Layoutnachweis sowie deployed SQL/RLS, Pflege-, Design- und Rechtsabnahmen in der autorisierten Umgebung durchführen.</x:v>
      </x:c>
    </x:row>
    <x:row r="25" ht="44" customHeight="1">
      <x:c r="A25" s="3" t="str">
        <x:v>B-07</x:v>
      </x:c>
      <x:c r="B25" s="3" t="str">
        <x:v>B Aufnahme und Stammdaten</x:v>
      </x:c>
      <x:c r="C25" s="3" t="str">
        <x:v>Aufnahme freigeben</x:v>
      </x:c>
      <x:c r="D25" s="3" t="str">
        <x:v>Pflegebedarf, Kapazität, Startdatum, Vertragsgrundlagen</x:v>
      </x:c>
      <x:c r="E25" s="3" t="str">
        <x:v>Aufnahme ohne erforderliche Unterlagen kann nicht als vollständig freigegeben werden.</x:v>
      </x:c>
      <x:c r="F25" s="3" t="str">
        <x:v>B-P03</x:v>
      </x:c>
      <x:c r="G25" s="3" t="str">
        <x:v>A-03, A-04</x:v>
      </x:c>
      <x:c r="H25" s="5" t="str">
        <x:v>Teilweise umgesetzt</x:v>
      </x:c>
      <x:c r="I25" s="5" t="str">
        <x:v>Teilprüfung</x:v>
      </x:c>
      <x:c r="J25" s="5" t="str">
        <x:v>Offen</x:v>
      </x:c>
      <x:c r="K25" s="5" t="str">
        <x:v>Offen</x:v>
      </x:c>
      <x:c r="L25" s="5" t="str">
        <x:v>Offen</x:v>
      </x:c>
      <x:c r="M25" s="5" t="str">
        <x:v>CP143: Explizite Bereichswahl; enger Stammdatenweg mit genau einem eigenen Auftrag. Finanz-/Schlussphasen nur Inspektion; keine Aufnahmefreigabe. 5660 Tests.</x:v>
      </x:c>
      <x:c r="N25" s="3" t="str">
        <x:f>IF(AND(H25="Umgesetzt",I25="Bestanden",OR(J25="Bestanden",J25="Entfällt geprüft"),OR(K25="Bestanden",K25="Entfällt geprüft"),OR(L25="Bestanden",L25="Entfällt geprüft"),M25&lt;&gt;""),"Abgenommen","Offen")</x:f>
        <x:v>Offen</x:v>
      </x:c>
      <x:c r="O25" s="3" t="str">
        <x:v>Weitere sechs Bereiche benötigen ganze native Schreibverträge. Grundpflege-Originalbasis sowie reale UI-/SQL-/RLS-/Pflege-/Rechtsabnahmen fortführen.</x:v>
      </x:c>
    </x:row>
    <x:row r="26" ht="44" customHeight="1">
      <x:c r="A26" s="3" t="str">
        <x:v>B-08</x:v>
      </x:c>
      <x:c r="B26" s="3" t="str">
        <x:v>B Aufnahme und Stammdaten</x:v>
      </x:c>
      <x:c r="C26" s="3" t="str">
        <x:v>Unterbrechung und Austritt</x:v>
      </x:c>
      <x:c r="D26" s="3" t="str">
        <x:v>Krankenhaus, Urlaub, Tod, Kündigung, Datum, Grund</x:v>
      </x:c>
      <x:c r="E26" s="3" t="str">
        <x:v>Unterbrechung stoppt passende Einsätze und bewahrt historische Nachweise.</x:v>
      </x:c>
      <x:c r="F26" s="3" t="str">
        <x:v>B-P03</x:v>
      </x:c>
      <x:c r="G26" s="3" t="str">
        <x:v>A-03, A-04</x:v>
      </x:c>
      <x:c r="H26" s="5" t="str">
        <x:v>Bestand zu prüfen</x:v>
      </x:c>
      <x:c r="I26" s="5" t="str">
        <x:v>Offen</x:v>
      </x:c>
      <x:c r="J26" s="5" t="str">
        <x:v>Offen</x:v>
      </x:c>
      <x:c r="K26" s="5" t="str">
        <x:v>Offen</x:v>
      </x:c>
      <x:c r="L26" s="5" t="str">
        <x:v>Offen</x:v>
      </x:c>
      <x:c r="M26" s="5" t="str"/>
      <x:c r="N26" s="3" t="str">
        <x:f>IF(AND(H26="Umgesetzt",I26="Bestanden",OR(J26="Bestanden",J26="Entfällt geprüft"),OR(K26="Bestanden",K26="Entfällt geprüft"),OR(L26="Bestanden",L26="Entfällt geprüft"),M26&lt;&gt;""),"Abgenommen","Offen")</x:f>
        <x:v>Offen</x:v>
      </x:c>
      <x:c r="O26" s="3" t="str">
        <x:v>Bestehenden Ablauf für „Unterbrechung und Austritt“ prüfen. Fehlende Datenfelder und Einzelfälle ergänzen, anschließend den genannten Abnahmefall nachweisen.</x:v>
      </x:c>
    </x:row>
    <x:row r="27" ht="44" customHeight="1">
      <x:c r="A27" s="3" t="str">
        <x:v>B-09</x:v>
      </x:c>
      <x:c r="B27" s="3" t="str">
        <x:v>B Aufnahme und Stammdaten</x:v>
      </x:c>
      <x:c r="C27" s="3" t="str">
        <x:v>Notfallinformationen</x:v>
      </x:c>
      <x:c r="D27" s="3" t="str">
        <x:v>Erreichbare Kontakte, hinterlegter Plan, Zugang, relevante Risiken</x:v>
      </x:c>
      <x:c r="E27" s="3" t="str">
        <x:v>Im erlaubten Kontext sind notwendige Informationen ohne langes Suchen verfügbar.</x:v>
      </x:c>
      <x:c r="F27" s="3" t="str">
        <x:v>B-P03</x:v>
      </x:c>
      <x:c r="G27" s="3" t="str">
        <x:v>A-03, A-04</x:v>
      </x:c>
      <x:c r="H27" s="5" t="str">
        <x:v>Bestand zu prüfen</x:v>
      </x:c>
      <x:c r="I27" s="5" t="str">
        <x:v>Offen</x:v>
      </x:c>
      <x:c r="J27" s="5" t="str">
        <x:v>Offen</x:v>
      </x:c>
      <x:c r="K27" s="5" t="str">
        <x:v>Offen</x:v>
      </x:c>
      <x:c r="L27" s="5" t="str">
        <x:v>Offen</x:v>
      </x:c>
      <x:c r="M27" s="5" t="str"/>
      <x:c r="N27" s="3" t="str">
        <x:f>IF(AND(H27="Umgesetzt",I27="Bestanden",OR(J27="Bestanden",J27="Entfällt geprüft"),OR(K27="Bestanden",K27="Entfällt geprüft"),OR(L27="Bestanden",L27="Entfällt geprüft"),M27&lt;&gt;""),"Abgenommen","Offen")</x:f>
        <x:v>Offen</x:v>
      </x:c>
      <x:c r="O27" s="3" t="str">
        <x:v>Bestehenden Ablauf für „Notfallinformationen“ prüfen. Fehlende Datenfelder und Einzelfälle ergänzen, anschließend den genannten Abnahmefall nachweisen.</x:v>
      </x:c>
    </x:row>
    <x:row r="28" ht="44" customHeight="1">
      <x:c r="A28" s="3" t="str">
        <x:v>B-10</x:v>
      </x:c>
      <x:c r="B28" s="3" t="str">
        <x:v>B Aufnahme und Stammdaten</x:v>
      </x:c>
      <x:c r="C28" s="3" t="str">
        <x:v>Dokumente übernehmen</x:v>
      </x:c>
      <x:c r="D28" s="3" t="str">
        <x:v>Dateityp, Quelle, Datum, Klient, Prüfung, Versionsbezug</x:v>
      </x:c>
      <x:c r="E28" s="3" t="str">
        <x:v>Falsch zugeordnetes oder nicht lesbares Dokument wird vor Übernahme erkannt.</x:v>
      </x:c>
      <x:c r="F28" s="3" t="str">
        <x:v>B-P04</x:v>
      </x:c>
      <x:c r="G28" s="3" t="str">
        <x:v>A-03, A-04</x:v>
      </x:c>
      <x:c r="H28" s="5" t="str">
        <x:v>Bestand zu prüfen</x:v>
      </x:c>
      <x:c r="I28" s="5" t="str">
        <x:v>Offen</x:v>
      </x:c>
      <x:c r="J28" s="5" t="str">
        <x:v>Offen</x:v>
      </x:c>
      <x:c r="K28" s="5" t="str">
        <x:v>Offen</x:v>
      </x:c>
      <x:c r="L28" s="5" t="str">
        <x:v>Offen</x:v>
      </x:c>
      <x:c r="M28" s="5" t="str"/>
      <x:c r="N28" s="3" t="str">
        <x:f>IF(AND(H28="Umgesetzt",I28="Bestanden",OR(J28="Bestanden",J28="Entfällt geprüft"),OR(K28="Bestanden",K28="Entfällt geprüft"),OR(L28="Bestanden",L28="Entfällt geprüft"),M28&lt;&gt;""),"Abgenommen","Offen")</x:f>
        <x:v>Offen</x:v>
      </x:c>
      <x:c r="O28" s="3" t="str">
        <x:v>Bestehenden Ablauf für „Dokumente übernehmen“ prüfen. Fehlende Datenfelder und Einzelfälle ergänzen, anschließend den genannten Abnahmefall nachweisen.</x:v>
      </x:c>
    </x:row>
    <x:row r="29" ht="155" customHeight="1">
      <x:c r="A29" s="3" t="str">
        <x:v>C-01</x:v>
      </x:c>
      <x:c r="B29" s="3" t="str">
        <x:v>C SIS und Assessments</x:v>
      </x:c>
      <x:c r="C29" s="3" t="str">
        <x:v>Dokumentationsmodell festlegen</x:v>
      </x:c>
      <x:c r="D29" s="3" t="str">
        <x:v>Modellname, freigegebene Fassung, Nutzungsbedingungen</x:v>
      </x:c>
      <x:c r="E29" s="3" t="str">
        <x:v>SIS-Bezeichnung erst nach Prüfung der konkreten EinSTEP-Abbildung freigeben.</x:v>
      </x:c>
      <x:c r="F29" s="3" t="str">
        <x:v>C-P01</x:v>
      </x:c>
      <x:c r="G29" s="3" t="str">
        <x:v>B-02, B-06</x:v>
      </x:c>
      <x:c r="H29" s="5" t="str">
        <x:v>Teilweise umgesetzt</x:v>
      </x:c>
      <x:c r="I29" s="5" t="str">
        <x:v>Teilprüfung</x:v>
      </x:c>
      <x:c r="J29" s="5" t="str">
        <x:v>Offen</x:v>
      </x:c>
      <x:c r="K29" s="5" t="str">
        <x:v>Offen</x:v>
      </x:c>
      <x:c r="L29" s="5" t="str">
        <x:v>Offen</x:v>
      </x:c>
      <x:c r="M29"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29" s="3" t="str">
        <x:f>IF(AND(H29="Umgesetzt",I29="Bestanden",OR(J29="Bestanden",J29="Entfällt geprüft"),OR(K29="Bestanden",K29="Entfällt geprüft"),OR(L29="Bestanden",L29="Entfällt geprüft"),M29&lt;&gt;""),"Abgenommen","Offen")</x:f>
        <x:v>Offen</x:v>
      </x:c>
      <x:c r="O29"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0" ht="155" customHeight="1">
      <x:c r="A30" s="3" t="str">
        <x:v>C-02</x:v>
      </x:c>
      <x:c r="B30" s="3" t="str">
        <x:v>C SIS und Assessments</x:v>
      </x:c>
      <x:c r="C30" s="3" t="str">
        <x:v>Personenperspektive</x:v>
      </x:c>
      <x:c r="D30" s="3" t="str">
        <x:v>Eigene Aussagen, Wünsche, Gewohnheiten, Erhebungsdatum</x:v>
      </x:c>
      <x:c r="E30" s="3" t="str">
        <x:v>Originalaussage bleibt von fachlicher Interpretation unterscheidbar.</x:v>
      </x:c>
      <x:c r="F30" s="3" t="str">
        <x:v>C-P01</x:v>
      </x:c>
      <x:c r="G30" s="3" t="str">
        <x:v>B-02, B-06</x:v>
      </x:c>
      <x:c r="H30" s="5" t="str">
        <x:v>Teilweise umgesetzt</x:v>
      </x:c>
      <x:c r="I30" s="5" t="str">
        <x:v>Teilprüfung</x:v>
      </x:c>
      <x:c r="J30" s="5" t="str">
        <x:v>Offen</x:v>
      </x:c>
      <x:c r="K30" s="5" t="str">
        <x:v>Offen</x:v>
      </x:c>
      <x:c r="L30" s="5" t="str">
        <x:v>Offen</x:v>
      </x:c>
      <x:c r="M30"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30" s="3" t="str">
        <x:f>IF(AND(H30="Umgesetzt",I30="Bestanden",OR(J30="Bestanden",J30="Entfällt geprüft"),OR(K30="Bestanden",K30="Entfällt geprüft"),OR(L30="Bestanden",L30="Entfällt geprüft"),M30&lt;&gt;""),"Abgenommen","Offen")</x:f>
        <x:v>Offen</x:v>
      </x:c>
      <x:c r="O30"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1" ht="155" customHeight="1">
      <x:c r="A31" s="3" t="str">
        <x:v>C-03</x:v>
      </x:c>
      <x:c r="B31" s="3" t="str">
        <x:v>C SIS und Assessments</x:v>
      </x:c>
      <x:c r="C31" s="3" t="str">
        <x:v>Kognition und Kommunikation</x:v>
      </x:c>
      <x:c r="D31" s="3" t="str">
        <x:v>Orientierung, Sprache, Sinnesbeeinträchtigung, Ressourcen</x:v>
      </x:c>
      <x:c r="E31" s="3" t="str">
        <x:v>Unterstützungsbedarf führt zu konkreten verknüpften Maßnahmen.</x:v>
      </x:c>
      <x:c r="F31" s="3" t="str">
        <x:v>C-P01</x:v>
      </x:c>
      <x:c r="G31" s="3" t="str">
        <x:v>B-02, B-06</x:v>
      </x:c>
      <x:c r="H31" s="5" t="str">
        <x:v>Teilweise umgesetzt</x:v>
      </x:c>
      <x:c r="I31" s="5" t="str">
        <x:v>Teilprüfung</x:v>
      </x:c>
      <x:c r="J31" s="5" t="str">
        <x:v>Offen</x:v>
      </x:c>
      <x:c r="K31" s="5" t="str">
        <x:v>Offen</x:v>
      </x:c>
      <x:c r="L31" s="5" t="str">
        <x:v>Offen</x:v>
      </x:c>
      <x:c r="M31"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31" s="3" t="str">
        <x:f>IF(AND(H31="Umgesetzt",I31="Bestanden",OR(J31="Bestanden",J31="Entfällt geprüft"),OR(K31="Bestanden",K31="Entfällt geprüft"),OR(L31="Bestanden",L31="Entfällt geprüft"),M31&lt;&gt;""),"Abgenommen","Offen")</x:f>
        <x:v>Offen</x:v>
      </x:c>
      <x:c r="O31"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2" ht="155" customHeight="1">
      <x:c r="A32" s="3" t="str">
        <x:v>C-04</x:v>
      </x:c>
      <x:c r="B32" s="3" t="str">
        <x:v>C SIS und Assessments</x:v>
      </x:c>
      <x:c r="C32" s="3" t="str">
        <x:v>Mobilität und Bewegung</x:v>
      </x:c>
      <x:c r="D32" s="3" t="str">
        <x:v>Positionswechsel, Transfer, Gehen, Hilfsmittel, Ressourcen</x:v>
      </x:c>
      <x:c r="E32" s="3" t="str">
        <x:v>Pflegeplanung berücksichtigt dokumentierte Unterstützung und Grenzen.</x:v>
      </x:c>
      <x:c r="F32" s="3" t="str">
        <x:v>C-P02</x:v>
      </x:c>
      <x:c r="G32" s="3" t="str">
        <x:v>B-02, B-06</x:v>
      </x:c>
      <x:c r="H32" s="5" t="str">
        <x:v>Teilweise umgesetzt</x:v>
      </x:c>
      <x:c r="I32" s="5" t="str">
        <x:v>Teilprüfung</x:v>
      </x:c>
      <x:c r="J32" s="5" t="str">
        <x:v>Offen</x:v>
      </x:c>
      <x:c r="K32" s="5" t="str">
        <x:v>Offen</x:v>
      </x:c>
      <x:c r="L32" s="5" t="str">
        <x:v>Offen</x:v>
      </x:c>
      <x:c r="M32"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32" s="3" t="str">
        <x:f>IF(AND(H32="Umgesetzt",I32="Bestanden",OR(J32="Bestanden",J32="Entfällt geprüft"),OR(K32="Bestanden",K32="Entfällt geprüft"),OR(L32="Bestanden",L32="Entfällt geprüft"),M32&lt;&gt;""),"Abgenommen","Offen")</x:f>
        <x:v>Offen</x:v>
      </x:c>
      <x:c r="O32"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3" ht="155" customHeight="1">
      <x:c r="A33" s="3" t="str">
        <x:v>C-05</x:v>
      </x:c>
      <x:c r="B33" s="3" t="str">
        <x:v>C SIS und Assessments</x:v>
      </x:c>
      <x:c r="C33" s="3" t="str">
        <x:v>Krankheitsbezogene Anforderungen</x:v>
      </x:c>
      <x:c r="D33" s="3" t="str">
        <x:v>Beschwerden, Therapien, Selbstmanagement, Risiken</x:v>
      </x:c>
      <x:c r="E33" s="3" t="str">
        <x:v>Relevante ärztliche Verordnung ist erreichbar und versioniert zugeordnet.</x:v>
      </x:c>
      <x:c r="F33" s="3" t="str">
        <x:v>C-P02</x:v>
      </x:c>
      <x:c r="G33" s="3" t="str">
        <x:v>B-02, B-06</x:v>
      </x:c>
      <x:c r="H33" s="5" t="str">
        <x:v>Teilweise umgesetzt</x:v>
      </x:c>
      <x:c r="I33" s="5" t="str">
        <x:v>Teilprüfung</x:v>
      </x:c>
      <x:c r="J33" s="5" t="str">
        <x:v>Offen</x:v>
      </x:c>
      <x:c r="K33" s="5" t="str">
        <x:v>Offen</x:v>
      </x:c>
      <x:c r="L33" s="5" t="str">
        <x:v>Offen</x:v>
      </x:c>
      <x:c r="M33"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33" s="3" t="str">
        <x:f>IF(AND(H33="Umgesetzt",I33="Bestanden",OR(J33="Bestanden",J33="Entfällt geprüft"),OR(K33="Bestanden",K33="Entfällt geprüft"),OR(L33="Bestanden",L33="Entfällt geprüft"),M33&lt;&gt;""),"Abgenommen","Offen")</x:f>
        <x:v>Offen</x:v>
      </x:c>
      <x:c r="O33"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4" ht="155" customHeight="1">
      <x:c r="A34" s="3" t="str">
        <x:v>C-06</x:v>
      </x:c>
      <x:c r="B34" s="3" t="str">
        <x:v>C SIS und Assessments</x:v>
      </x:c>
      <x:c r="C34" s="3" t="str">
        <x:v>Selbstversorgung und Haushalt</x:v>
      </x:c>
      <x:c r="D34" s="3" t="str">
        <x:v>Körperpflege, Kleidung, Essen, Ausscheidung, Haushaltsführung</x:v>
      </x:c>
      <x:c r="E34" s="3" t="str">
        <x:v>Erhaltene Fähigkeiten und erforderliche Hilfe werden getrennt gespeichert.</x:v>
      </x:c>
      <x:c r="F34" s="3" t="str">
        <x:v>C-P02</x:v>
      </x:c>
      <x:c r="G34" s="3" t="str">
        <x:v>B-02, B-06</x:v>
      </x:c>
      <x:c r="H34" s="5" t="str">
        <x:v>Teilweise umgesetzt</x:v>
      </x:c>
      <x:c r="I34" s="5" t="str">
        <x:v>Teilprüfung</x:v>
      </x:c>
      <x:c r="J34" s="5" t="str">
        <x:v>Offen</x:v>
      </x:c>
      <x:c r="K34" s="5" t="str">
        <x:v>Offen</x:v>
      </x:c>
      <x:c r="L34" s="5" t="str">
        <x:v>Offen</x:v>
      </x:c>
      <x:c r="M34"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34" s="3" t="str">
        <x:f>IF(AND(H34="Umgesetzt",I34="Bestanden",OR(J34="Bestanden",J34="Entfällt geprüft"),OR(K34="Bestanden",K34="Entfällt geprüft"),OR(L34="Bestanden",L34="Entfällt geprüft"),M34&lt;&gt;""),"Abgenommen","Offen")</x:f>
        <x:v>Offen</x:v>
      </x:c>
      <x:c r="O34"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5" ht="155" customHeight="1">
      <x:c r="A35" s="3" t="str">
        <x:v>C-07</x:v>
      </x:c>
      <x:c r="B35" s="3" t="str">
        <x:v>C SIS und Assessments</x:v>
      </x:c>
      <x:c r="C35" s="3" t="str">
        <x:v>Soziale Beziehungen und Alltag</x:v>
      </x:c>
      <x:c r="D35" s="3" t="str">
        <x:v>Bezugspersonen, Tagesstruktur, Teilhabe, Wohnumfeld</x:v>
      </x:c>
      <x:c r="E35" s="3" t="str">
        <x:v>Individuelle Wünsche erscheinen in der Maßnahmenplanung.</x:v>
      </x:c>
      <x:c r="F35" s="3" t="str">
        <x:v>C-P03</x:v>
      </x:c>
      <x:c r="G35" s="3" t="str">
        <x:v>B-02, B-06</x:v>
      </x:c>
      <x:c r="H35" s="5" t="str">
        <x:v>Teilweise umgesetzt</x:v>
      </x:c>
      <x:c r="I35" s="5" t="str">
        <x:v>Teilprüfung</x:v>
      </x:c>
      <x:c r="J35" s="5" t="str">
        <x:v>Offen</x:v>
      </x:c>
      <x:c r="K35" s="5" t="str">
        <x:v>Offen</x:v>
      </x:c>
      <x:c r="L35" s="5" t="str">
        <x:v>Offen</x:v>
      </x:c>
      <x:c r="M35" s="5" t="str">
        <x:v>Checkpoint 11: Eigenes Web-Pflegeassessment, explizite Risikoeinschätzungen, vollständige individuelle Planung und technisch geprüfte Übergabe; 14 Domänenprüfungen bestanden. Keine SIS-Konformität oder Fachfreigabe nachgewiesen. Siehe docs/audit/ambulant-fortsetzung-2026-10-08.md und checks/ambulant-node-checkpoint11-2026-10-08.log.</x:v>
      </x:c>
      <x:c r="N35" s="3" t="str">
        <x:f>IF(AND(H35="Umgesetzt",I35="Bestanden",OR(J35="Bestanden",J35="Entfällt geprüft"),OR(K35="Bestanden",K35="Entfällt geprüft"),OR(L35="Bestanden",L35="Entfällt geprüft"),M35&lt;&gt;""),"Abgenommen","Offen")</x:f>
        <x:v>Offen</x:v>
      </x:c>
      <x:c r="O35" s="3" t="str">
        <x:v>Assessmententwürfe atomar/versioniert speichern; alten Freigabepfad sichern; Qualifikation, EinSTEP-Abbildung und fachliche Bewertung prüfen. Gesamt-Typprüfung sowie echte SQL/RLS-/SDK- und breite/schmale Browserprüfung nachweisen; den ursprünglichen Abnahmefall separat erfüllen.</x:v>
      </x:c>
    </x:row>
    <x:row r="36" ht="155" customHeight="1">
      <x:c r="A36" s="3" t="str">
        <x:v>C-08</x:v>
      </x:c>
      <x:c r="B36" s="3" t="str">
        <x:v>C SIS und Assessments</x:v>
      </x:c>
      <x:c r="C36" s="3" t="str">
        <x:v>Risikomatrix und Vertiefung</x:v>
      </x:c>
      <x:c r="D36" s="3" t="str">
        <x:v>Risiko, Einschätzung, Instrument, Anlass, Ergebnis, Verlauf</x:v>
      </x:c>
      <x:c r="E36" s="3" t="str">
        <x:v>Positives Risiko löst nachvollziehbare Vertiefung oder begründete Entscheidung aus.</x:v>
      </x:c>
      <x:c r="F36" s="3" t="str">
        <x:v>C-P03</x:v>
      </x:c>
      <x:c r="G36" s="3" t="str">
        <x:v>B-02, B-06</x:v>
      </x:c>
      <x:c r="H36" s="5" t="str">
        <x:v>Teilweise umgesetzt</x:v>
      </x:c>
      <x:c r="I36" s="5" t="str">
        <x:v>Teilprüfung</x:v>
      </x:c>
      <x:c r="J36" s="5" t="str">
        <x:v>Offen</x:v>
      </x:c>
      <x:c r="K36" s="5" t="str">
        <x:v>Offen</x:v>
      </x:c>
      <x:c r="L36" s="5" t="str">
        <x:v>Offen</x:v>
      </x:c>
      <x:c r="M36" s="5" t="str">
        <x:v>CP30: Eigene Kontinenzvertiefung mit Fachversion und 24 strukturierten Angaben; vorhandene andere Vertiefungen unverändert. Unvollständiges Profil sperrt ambulante Prüfweitergabe bei unklarer/vorhandener/kontrollierter Kontinenz. 99 neue Fälle, 1392/1392 kumulativ. SQL nicht ausgeführt; native SDK/TSX/Web-/Fach-/Rechtsabnahmen offen.</x:v>
      </x:c>
      <x:c r="N36" s="3" t="str">
        <x:f>IF(AND(H36="Umgesetzt",I36="Bestanden",OR(J36="Bestanden",J36="Entfällt geprüft"),OR(K36="Bestanden",K36="Entfällt geprüft"),OR(L36="Bestanden",L36="Entfällt geprüft"),M36&lt;&gt;""),"Abgenommen","Offen")</x:f>
        <x:v>Offen</x:v>
      </x:c>
      <x:c r="O36" s="3" t="str">
        <x:v>Andere vorhandene Vertiefungen ohne Originalverlust strukturiert überführen. Native Server-/Rechte-/Replay-/Rollbackprüfung und breite/schmale Web-/Fachabnahme nachweisen.</x:v>
      </x:c>
    </x:row>
    <x:row r="37" ht="44" customHeight="1">
      <x:c r="A37" s="3" t="str">
        <x:v>C-09</x:v>
      </x:c>
      <x:c r="B37" s="3" t="str">
        <x:v>C SIS und Assessments</x:v>
      </x:c>
      <x:c r="C37" s="3" t="str">
        <x:v>Assessmentinstrumente verwalten</x:v>
      </x:c>
      <x:c r="D37" s="3" t="str">
        <x:v>Lizenz, Version, Anwendungsbereich, Felder, Berechnung</x:v>
      </x:c>
      <x:c r="E37" s="3" t="str">
        <x:v>Geschützte oder veraltete Instrumente werden nicht ungeprüft nachgebaut.</x:v>
      </x:c>
      <x:c r="F37" s="3" t="str">
        <x:v>C-P03</x:v>
      </x:c>
      <x:c r="G37" s="3" t="str">
        <x:v>B-02, B-06</x:v>
      </x:c>
      <x:c r="H37" s="5" t="str">
        <x:v>Bestand zu prüfen</x:v>
      </x:c>
      <x:c r="I37" s="5" t="str">
        <x:v>Offen</x:v>
      </x:c>
      <x:c r="J37" s="5" t="str">
        <x:v>Offen</x:v>
      </x:c>
      <x:c r="K37" s="5" t="str">
        <x:v>Offen</x:v>
      </x:c>
      <x:c r="L37" s="5" t="str">
        <x:v>Offen</x:v>
      </x:c>
      <x:c r="M37" s="5" t="str"/>
      <x:c r="N37" s="3" t="str">
        <x:f>IF(AND(H37="Umgesetzt",I37="Bestanden",OR(J37="Bestanden",J37="Entfällt geprüft"),OR(K37="Bestanden",K37="Entfällt geprüft"),OR(L37="Bestanden",L37="Entfällt geprüft"),M37&lt;&gt;""),"Abgenommen","Offen")</x:f>
        <x:v>Offen</x:v>
      </x:c>
      <x:c r="O37" s="3" t="str">
        <x:v>Bestehenden Ablauf für „Assessmentinstrumente verwalten“ prüfen. Fehlende Datenfelder und Einzelfälle ergänzen, anschließend den genannten Abnahmefall nachweisen.</x:v>
      </x:c>
    </x:row>
    <x:row r="38" ht="155" customHeight="1">
      <x:c r="A38" s="3" t="str">
        <x:v>C-10</x:v>
      </x:c>
      <x:c r="B38" s="3" t="str">
        <x:v>C SIS und Assessments</x:v>
      </x:c>
      <x:c r="C38" s="3" t="str">
        <x:v>Assessment erneut durchführen</x:v>
      </x:c>
      <x:c r="D38" s="3" t="str">
        <x:v>Vorbefund, neuer Anlass, neue Erhebung, Vergleich</x:v>
      </x:c>
      <x:c r="E38" s="3" t="str">
        <x:v>Neue Erhebung ersetzt den Originalbefund nicht und zeigt relevante Veränderungen.</x:v>
      </x:c>
      <x:c r="F38" s="3" t="str">
        <x:v>C-P04</x:v>
      </x:c>
      <x:c r="G38" s="3" t="str">
        <x:v>B-02, B-06</x:v>
      </x:c>
      <x:c r="H38" s="5" t="str">
        <x:v>Teilweise umgesetzt</x:v>
      </x:c>
      <x:c r="I38" s="5" t="str">
        <x:v>Teilprüfung</x:v>
      </x:c>
      <x:c r="J38" s="5" t="str">
        <x:v>Offen</x:v>
      </x:c>
      <x:c r="K38" s="5" t="str">
        <x:v>Offen</x:v>
      </x:c>
      <x:c r="L38" s="5" t="str">
        <x:v>Offen</x:v>
      </x:c>
      <x:c r="M38" s="5" t="str">
        <x:v>Checkpoint 13: atomare Assessment-Neuanlage mit explizitem Pflegefall/Anlass, serverbestimmter Person und Anfragebeleg lokal vorbereitet; begründete Rückgabe mit Snapshot und nächster Version implementiert. Webformulare behalten unklare Anfragen unverändert. 17 neue Domänen-/Gatewayfälle, insgesamt 170 bestanden. SQL, echte Webinteraktion und Fachfreigabe nicht geprüft.</x:v>
      </x:c>
      <x:c r="N38" s="3" t="str">
        <x:f>IF(AND(H38="Umgesetzt",I38="Bestanden",OR(J38="Bestanden",J38="Entfällt geprüft"),OR(K38="Bestanden",K38="Entfällt geprüft"),OR(L38="Bestanden",L38="Entfällt geprüft"),M38&lt;&gt;""),"Abgenommen","Offen")</x:f>
        <x:v>Offen</x:v>
      </x:c>
      <x:c r="O38" s="3" t="str">
        <x:v>Neue Lifecycle-RPCs, Rollback, Parallelität, Trigger- und RLS-Rechte tatsächlich prüfen; Web breit/schmal und Typecheck nachweisen. Fachlich freigegebene Fortschreibung, Evaluationsworkflow, Lösch-/Aufbewahrung und Wiederaufnahme nach erzwungenem Reload bleiben offen.</x:v>
      </x:c>
    </x:row>
    <x:row r="39" ht="155" customHeight="1">
      <x:c r="A39" s="3" t="str">
        <x:v>D-01</x:v>
      </x:c>
      <x:c r="B39" s="3" t="str">
        <x:v>D Pflegeplanung und Evaluation</x:v>
      </x:c>
      <x:c r="C39" s="3" t="str">
        <x:v>Individuelle Pflegeziele</x:v>
      </x:c>
      <x:c r="D39" s="3" t="str">
        <x:v>Ziel, Ausgangslage, Zeitraum, gemeinsam vereinbarte Priorität</x:v>
      </x:c>
      <x:c r="E39" s="3" t="str">
        <x:v>Zielerreichung ist an beobachtbaren Ergebnissen bewertbar.</x:v>
      </x:c>
      <x:c r="F39" s="3" t="str">
        <x:v>D-P01</x:v>
      </x:c>
      <x:c r="G39" s="3" t="str">
        <x:v>C-02 bis C-08</x:v>
      </x:c>
      <x:c r="H39" s="5" t="str">
        <x:v>Teilweise umgesetzt</x:v>
      </x:c>
      <x:c r="I39" s="5" t="str">
        <x:v>Teilprüfung</x:v>
      </x:c>
      <x:c r="J39" s="5" t="str">
        <x:v>Offen</x:v>
      </x:c>
      <x:c r="K39" s="5" t="str">
        <x:v>Offen</x:v>
      </x:c>
      <x:c r="L39" s="5" t="str">
        <x:v>Offen</x:v>
      </x:c>
      <x:c r="M39" s="5" t="str">
        <x:v>CP34: Jede ausgewählte Maßnahme mit ursprünglichem Ziel und Prüfkriterium einzeln bewertbar. Tatsächlicher Befund, Wirkung und Personenrückmeldung bleiben je Maßnahme erhalten. 117 neue Fälle, 1743/1743 kumulativ. SQL nicht ausgeführt; native SDK/TSX/Web-/Fach-/Rechtsabnahmen offen.</x:v>
      </x:c>
      <x:c r="N39" s="3" t="str">
        <x:f>IF(AND(H39="Umgesetzt",I39="Bestanden",OR(J39="Bestanden",J39="Entfällt geprüft"),OR(K39="Bestanden",K39="Entfällt geprüft"),OR(L39="Bestanden",L39="Entfällt geprüft"),M39&lt;&gt;""),"Abgenommen","Offen")</x:f>
        <x:v>Offen</x:v>
      </x:c>
      <x:c r="O39" s="3" t="str">
        <x:v>Native Speicherung/Rücklesung, individuelle Ziel-/Kriterienqualität und breite/schmale Bedienung abnehmen; mehrere Einzelkriterien innerhalb eines Freitextkriteriums weiter fachlich ausarbeiten.</x:v>
      </x:c>
    </x:row>
    <x:row r="40" ht="155" customHeight="1">
      <x:c r="A40" s="3" t="str">
        <x:v>D-02</x:v>
      </x:c>
      <x:c r="B40" s="3" t="str">
        <x:v>D Pflegeplanung und Evaluation</x:v>
      </x:c>
      <x:c r="C40" s="3" t="str">
        <x:v>Maßnahme konkret planen</x:v>
      </x:c>
      <x:c r="D40" s="3" t="str">
        <x:v>Was, wie, wann, wie häufig, Hilfsmittel, verantwortliche Rolle</x:v>
      </x:c>
      <x:c r="E40" s="3" t="str">
        <x:v>Ausführung ist ohne erfundene Details aus der Planung möglich.</x:v>
      </x:c>
      <x:c r="F40" s="3" t="str">
        <x:v>D-P01</x:v>
      </x:c>
      <x:c r="G40" s="3" t="str">
        <x:v>C-02 bis C-08</x:v>
      </x:c>
      <x:c r="H40" s="5" t="str">
        <x:v>Teilweise umgesetzt</x:v>
      </x:c>
      <x:c r="I40" s="5" t="str">
        <x:v>Teilprüfung</x:v>
      </x:c>
      <x:c r="J40" s="5" t="str">
        <x:v>Offen</x:v>
      </x:c>
      <x:c r="K40" s="5" t="str">
        <x:v>Offen</x:v>
      </x:c>
      <x:c r="L40" s="5" t="str">
        <x:v>Offen</x:v>
      </x:c>
      <x:c r="M40" s="5" t="str">
        <x:v>CP34: Originalmaßnahme wird über native Kennung mit damaliger Handlung, Ziel und Kriterium einzeln bewertet. Reihenfolge ist unerheblich; fremde, doppelte oder fehlende Bewertungen sperren die neue Fassung. 117 neue Fälle, 1743/1743 kumulativ. SQL nicht ausgeführt; native SDK/TSX/Web-/Fach-/Rechtsabnahmen offen.</x:v>
      </x:c>
      <x:c r="N40" s="3" t="str">
        <x:f>IF(AND(H40="Umgesetzt",I40="Bestanden",OR(J40="Bestanden",J40="Entfällt geprüft"),OR(K40="Bestanden",K40="Entfällt geprüft"),OR(L40="Bestanden",L40="Entfällt geprüft"),M40&lt;&gt;""),"Abgenommen","Offen")</x:f>
        <x:v>Offen</x:v>
      </x:c>
      <x:c r="O40" s="3" t="str">
        <x:v>Geänderte Maßnahmen/Assessmentfassungen ausdrücklich zuordnen, fachliche Planfortschreibung und Qualifikationsbelege ergänzen; native Server-/Browserprüfung offen.</x:v>
      </x:c>
    </x:row>
    <x:row r="41" ht="155" customHeight="1">
      <x:c r="A41" s="3" t="str">
        <x:v>D-03</x:v>
      </x:c>
      <x:c r="B41" s="3" t="str">
        <x:v>D Pflegeplanung und Evaluation</x:v>
      </x:c>
      <x:c r="C41" s="3" t="str">
        <x:v>Tagesstruktur und Gewohnheiten</x:v>
      </x:c>
      <x:c r="D41" s="3" t="str">
        <x:v>Zeitfenster, Ritual, individuelle Präferenz, Abhängigkeit</x:v>
      </x:c>
      <x:c r="E41" s="3" t="str">
        <x:v>Plan respektiert vereinbarte Reihenfolge und weist Konflikte aus.</x:v>
      </x:c>
      <x:c r="F41" s="3" t="str">
        <x:v>D-P01</x:v>
      </x:c>
      <x:c r="G41" s="3" t="str">
        <x:v>C-02 bis C-08</x:v>
      </x:c>
      <x:c r="H41" s="5" t="str">
        <x:v>Teilweise umgesetzt</x:v>
      </x:c>
      <x:c r="I41" s="5" t="str">
        <x:v>Teilprüfung</x:v>
      </x:c>
      <x:c r="J41" s="5" t="str">
        <x:v>Offen</x:v>
      </x:c>
      <x:c r="K41" s="5" t="str">
        <x:v>Offen</x:v>
      </x:c>
      <x:c r="L41" s="5" t="str">
        <x:v>Offen</x:v>
      </x:c>
      <x:c r="M41" s="5" t="str">
        <x:v>CP30: Individuelle Tagesgewohnheiten, Nachtsituation, Toilettenzugang und Umgang mit Kleidung im eigenen Kontinenzprofil erfassbar. Vollständiger Tagesstrukturplan bleibt offen. 99 neue Fälle, 1392/1392 kumulativ. SQL nicht ausgeführt; native SDK/TSX/Web-/Fach-/Rechtsabnahmen offen.</x:v>
      </x:c>
      <x:c r="N41" s="3" t="str">
        <x:f>IF(AND(H41="Umgesetzt",I41="Bestanden",OR(J41="Bestanden",J41="Entfällt geprüft"),OR(K41="Bestanden",K41="Entfällt geprüft"),OR(L41="Bestanden",L41="Entfällt geprüft"),M41&lt;&gt;""),"Abgenommen","Offen")</x:f>
        <x:v>Offen</x:v>
      </x:c>
      <x:c r="O41" s="3" t="str">
        <x:v>Vollständige individuelle Tagesstruktur mit konkreten Situationen, vereinbarten Abläufen und Akteurszuständigkeiten ergänzen und fachlich abnehmen.</x:v>
      </x:c>
    </x:row>
    <x:row r="42" ht="155" customHeight="1">
      <x:c r="A42" s="3" t="str">
        <x:v>D-04</x:v>
      </x:c>
      <x:c r="B42" s="3" t="str">
        <x:v>D Pflegeplanung und Evaluation</x:v>
      </x:c>
      <x:c r="C42" s="3" t="str">
        <x:v>Ressourcenorientierte Unterstützung</x:v>
      </x:c>
      <x:c r="D42" s="3" t="str">
        <x:v>Eigenleistung, Anleitung, Übernahme, Unterstützungsgrad</x:v>
      </x:c>
      <x:c r="E42" s="3" t="str">
        <x:v>Dokumentation unterscheidet geplante Hilfe und tatsächliche Unterstützung.</x:v>
      </x:c>
      <x:c r="F42" s="3" t="str">
        <x:v>D-P02</x:v>
      </x:c>
      <x:c r="G42" s="3" t="str">
        <x:v>C-02 bis C-08</x:v>
      </x:c>
      <x:c r="H42" s="5" t="str">
        <x:v>Teilweise umgesetzt</x:v>
      </x:c>
      <x:c r="I42" s="5" t="str">
        <x:v>Teilprüfung</x:v>
      </x:c>
      <x:c r="J42" s="5" t="str">
        <x:v>Offen</x:v>
      </x:c>
      <x:c r="K42" s="5" t="str">
        <x:v>Offen</x:v>
      </x:c>
      <x:c r="L42" s="5" t="str">
        <x:v>Offen</x:v>
      </x:c>
      <x:c r="M42" s="5" t="str">
        <x:v>CP30: Erhaltene Fähigkeiten, Bedarfserkennung, Mobilität/Transfer und konkreter Unterstützungsbedarf mit Personenentscheidung erfasst. Ressourcenorientierte Gesamtplanung bleibt offen. 99 neue Fälle, 1392/1392 kumulativ. SQL nicht ausgeführt; native SDK/TSX/Web-/Fach-/Rechtsabnahmen offen.</x:v>
      </x:c>
      <x:c r="N42" s="3" t="str">
        <x:f>IF(AND(H42="Umgesetzt",I42="Bestanden",OR(J42="Bestanden",J42="Entfällt geprüft"),OR(K42="Bestanden",K42="Entfällt geprüft"),OR(L42="Bestanden",L42="Entfällt geprüft"),M42&lt;&gt;""),"Abgenommen","Offen")</x:f>
        <x:v>Offen</x:v>
      </x:c>
      <x:c r="O42" s="3" t="str">
        <x:v>Ressourcen und individuelle Unterstützungsgrenzen in sämtlichen erforderlichen Maßnahmenbereichen konkretisieren; tatsächliche Mitwirkung und Evaluation prüfen.</x:v>
      </x:c>
    </x:row>
    <x:row r="43" ht="155" customHeight="1">
      <x:c r="A43" s="3" t="str">
        <x:v>D-05</x:v>
      </x:c>
      <x:c r="B43" s="3" t="str">
        <x:v>D Pflegeplanung und Evaluation</x:v>
      </x:c>
      <x:c r="C43" s="3" t="str">
        <x:v>Planversion freigeben</x:v>
      </x:c>
      <x:c r="D43" s="3" t="str">
        <x:v>Version, Gültigkeit, Autor, Fachfreigabe, Änderungsgrund</x:v>
      </x:c>
      <x:c r="E43" s="3" t="str">
        <x:v>Späterer Planwechsel überschreibt keinen abgeschlossenen Einsatz.</x:v>
      </x:c>
      <x:c r="F43" s="3" t="str">
        <x:v>D-P02</x:v>
      </x:c>
      <x:c r="G43" s="3" t="str">
        <x:v>C-02 bis C-08</x:v>
      </x:c>
      <x:c r="H43" s="5" t="str">
        <x:v>Teilweise umgesetzt</x:v>
      </x:c>
      <x:c r="I43" s="5" t="str">
        <x:v>Teilprüfung</x:v>
      </x:c>
      <x:c r="J43" s="5" t="str">
        <x:v>Offen</x:v>
      </x:c>
      <x:c r="K43" s="5" t="str">
        <x:v>Offen</x:v>
      </x:c>
      <x:c r="L43" s="5" t="str">
        <x:v>Offen</x:v>
      </x:c>
      <x:c r="M43" s="5" t="str">
        <x:v>Checkpoint 13: atomare Assessment-Neuanlage mit explizitem Pflegefall/Anlass, serverbestimmter Person und Anfragebeleg lokal vorbereitet; begründete Rückgabe mit Snapshot und nächster Version implementiert. Webformulare behalten unklare Anfragen unverändert. 17 neue Domänen-/Gatewayfälle, insgesamt 170 bestanden. SQL, echte Webinteraktion und Fachfreigabe nicht geprüft.</x:v>
      </x:c>
      <x:c r="N43" s="3" t="str">
        <x:f>IF(AND(H43="Umgesetzt",I43="Bestanden",OR(J43="Bestanden",J43="Entfällt geprüft"),OR(K43="Bestanden",K43="Entfällt geprüft"),OR(L43="Bestanden",L43="Entfällt geprüft"),M43&lt;&gt;""),"Abgenommen","Offen")</x:f>
        <x:v>Offen</x:v>
      </x:c>
      <x:c r="O43" s="3" t="str">
        <x:v>Neue Lifecycle-RPCs, Rollback, Parallelität, Trigger- und RLS-Rechte tatsächlich prüfen; Web breit/schmal und Typecheck nachweisen. Fachlich freigegebene Fortschreibung, Evaluationsworkflow, Lösch-/Aufbewahrung und Wiederaufnahme nach erzwungenem Reload bleiben offen.</x:v>
      </x:c>
    </x:row>
    <x:row r="44" ht="155" customHeight="1">
      <x:c r="A44" s="3" t="str">
        <x:v>D-06</x:v>
      </x:c>
      <x:c r="B44" s="3" t="str">
        <x:v>D Pflegeplanung und Evaluation</x:v>
      </x:c>
      <x:c r="C44" s="3" t="str">
        <x:v>Anlassbezogene Anpassung</x:v>
      </x:c>
      <x:c r="D44" s="3" t="str">
        <x:v>Zustandsänderung, Rückmeldung, Priorität, Anpassungsauftrag</x:v>
      </x:c>
      <x:c r="E44" s="3" t="str">
        <x:v>Wesentliche Änderung erzeugt eine zuständige überprüfbare Folgeaufgabe.</x:v>
      </x:c>
      <x:c r="F44" s="3" t="str">
        <x:v>D-P02</x:v>
      </x:c>
      <x:c r="G44" s="3" t="str">
        <x:v>C-02 bis C-08</x:v>
      </x:c>
      <x:c r="H44" s="5" t="str">
        <x:v>Teilweise umgesetzt</x:v>
      </x:c>
      <x:c r="I44" s="5" t="str">
        <x:v>Teilprüfung</x:v>
      </x:c>
      <x:c r="J44" s="5" t="str">
        <x:v>Offen</x:v>
      </x:c>
      <x:c r="K44" s="5" t="str">
        <x:v>Offen</x:v>
      </x:c>
      <x:c r="L44" s="5" t="str">
        <x:v>Offen</x:v>
      </x:c>
      <x:c r="M44" s="5" t="str">
        <x:v>CP76–99: Sichere Plananpassung und gespeichertes Originallesen getrennt vom Entwurf. Historische Belege auch bei leerem/unvollständigem Plan erhalten; Änderungshistorie nach Planreload frisch bestätigen. 2678 lokale Fälle bestanden; Vollständige historische Quellenrechte schützen auch Maßnahmenübersicht und Auszüge; aktuelle Quellen getrennt, Verwerfung, Quellen-Navigation und historische und eigenständige Evaluationsausgaben unter eigenem aktuellem Lesebezug geprüft, ungewisse Originalanfragen erhalten. Echte Web-/Fachabnahmen offen.</x:v>
      </x:c>
      <x:c r="N44" s="3" t="str">
        <x:f>IF(AND(H44="Umgesetzt",I44="Bestanden",OR(J44="Bestanden",J44="Entfällt geprüft"),OR(K44="Bestanden",K44="Entfällt geprüft"),OR(L44="Bestanden",L44="Entfällt geprüft"),M44&lt;&gt;""),"Abgenommen","Offen")</x:f>
        <x:v>Offen</x:v>
      </x:c>
      <x:c r="O44" s="3" t="str">
        <x:v>Medikationszeiten mikrosekundengenau vergleichen und ungewisse Formularanfragen bei Rechteverlust erhalten. Echte Browser/Layout-, Gesamt-Typecheck-, SQL/RLS- und Fachabnahmen offen.</x:v>
      </x:c>
    </x:row>
    <x:row r="45" ht="155" customHeight="1">
      <x:c r="A45" s="3" t="str">
        <x:v>D-07</x:v>
      </x:c>
      <x:c r="B45" s="3" t="str">
        <x:v>D Pflegeplanung und Evaluation</x:v>
      </x:c>
      <x:c r="C45" s="3" t="str">
        <x:v>Regelmäßige Evaluation</x:v>
      </x:c>
      <x:c r="D45" s="3" t="str">
        <x:v>Termin, Kriterien, Beobachtung, Entscheidung, Folgemaßnahme</x:v>
      </x:c>
      <x:c r="E45" s="3" t="str">
        <x:v>Offene Evaluation verschwindet nicht durch bloßes Öffnen der Akte.</x:v>
      </x:c>
      <x:c r="F45" s="3" t="str">
        <x:v>D-P03</x:v>
      </x:c>
      <x:c r="G45" s="3" t="str">
        <x:v>C-02 bis C-08</x:v>
      </x:c>
      <x:c r="H45" s="5" t="str">
        <x:v>Teilweise umgesetzt</x:v>
      </x:c>
      <x:c r="I45" s="5" t="str">
        <x:v>Teilprüfung</x:v>
      </x:c>
      <x:c r="J45" s="5" t="str">
        <x:v>Offen</x:v>
      </x:c>
      <x:c r="K45" s="5" t="str">
        <x:v>Offen</x:v>
      </x:c>
      <x:c r="L45" s="5" t="str">
        <x:v>Offen</x:v>
      </x:c>
      <x:c r="M45" s="5" t="str">
        <x:v>CP76–99: Native Originalaufträge, Fristen und historische Ergebnisbelege mit Quellenvergleich. Leer-/Zwischenstandplan verliert keine Aufträge; kein automatischer Abschluss. 2678 lokale Fälle bestanden; Vollständige historische Quellenrechte schützen auch Maßnahmenübersicht und Auszüge; aktuelle Quellen getrennt, Verwerfung, Quellen-Navigation und historische und eigenständige Evaluationsausgaben unter eigenem aktuellem Lesebezug geprüft, ungewisse Originalanfragen erhalten. Echte Web-/Fachabnahmen offen.</x:v>
      </x:c>
      <x:c r="N45" s="3" t="str">
        <x:f>IF(AND(H45="Umgesetzt",I45="Bestanden",OR(J45="Bestanden",J45="Entfällt geprüft"),OR(K45="Bestanden",K45="Entfällt geprüft"),OR(L45="Bestanden",L45="Entfällt geprüft"),M45&lt;&gt;""),"Abgenommen","Offen")</x:f>
        <x:v>Offen</x:v>
      </x:c>
      <x:c r="O45" s="3" t="str">
        <x:v>Medikationszeiten mikrosekundengenau vergleichen und ungewisse Formularanfragen bei Rechteverlust erhalten. Echte Browser/Layout-, Gesamt-Typecheck-, SQL/RLS- und Fachabnahmen offen.</x:v>
      </x:c>
    </x:row>
    <x:row r="46" ht="44" customHeight="1">
      <x:c r="A46" s="3" t="str">
        <x:v>D-08</x:v>
      </x:c>
      <x:c r="B46" s="3" t="str">
        <x:v>D Pflegeplanung und Evaluation</x:v>
      </x:c>
      <x:c r="C46" s="3" t="str">
        <x:v>Pflegevisite mit Rückkopplung</x:v>
      </x:c>
      <x:c r="D46" s="3" t="str">
        <x:v>Prüfpunkt, Beteiligte, Abweichung, Beschluss, Termin</x:v>
      </x:c>
      <x:c r="E46" s="3" t="str">
        <x:v>Visitenentscheidung wird im Plan umgesetzt und ihre Umsetzung nachgehalten.</x:v>
      </x:c>
      <x:c r="F46" s="3" t="str">
        <x:v>D-P03</x:v>
      </x:c>
      <x:c r="G46" s="3" t="str">
        <x:v>C-02 bis C-08</x:v>
      </x:c>
      <x:c r="H46" s="5" t="str">
        <x:v>Bestand zu prüfen</x:v>
      </x:c>
      <x:c r="I46" s="5" t="str">
        <x:v>Offen</x:v>
      </x:c>
      <x:c r="J46" s="5" t="str">
        <x:v>Offen</x:v>
      </x:c>
      <x:c r="K46" s="5" t="str">
        <x:v>Offen</x:v>
      </x:c>
      <x:c r="L46" s="5" t="str">
        <x:v>Offen</x:v>
      </x:c>
      <x:c r="M46" s="5" t="str"/>
      <x:c r="N46" s="3" t="str">
        <x:f>IF(AND(H46="Umgesetzt",I46="Bestanden",OR(J46="Bestanden",J46="Entfällt geprüft"),OR(K46="Bestanden",K46="Entfällt geprüft"),OR(L46="Bestanden",L46="Entfällt geprüft"),M46&lt;&gt;""),"Abgenommen","Offen")</x:f>
        <x:v>Offen</x:v>
      </x:c>
      <x:c r="O46" s="3" t="str">
        <x:v>Bestehenden Ablauf für „Pflegevisite mit Rückkopplung“ prüfen. Fehlende Datenfelder und Einzelfälle ergänzen, anschließend den genannten Abnahmefall nachweisen.</x:v>
      </x:c>
    </x:row>
    <x:row r="47" ht="44" customHeight="1">
      <x:c r="A47" s="3" t="str">
        <x:v>E-01</x:v>
      </x:c>
      <x:c r="B47" s="3" t="str">
        <x:v>E Dokumentation und Protokolle</x:v>
      </x:c>
      <x:c r="C47" s="3" t="str">
        <x:v>Pflegebericht erstellen</x:v>
      </x:c>
      <x:c r="D47" s="3" t="str">
        <x:v>Ereigniszeit, Erfassungszeit, Beobachtung, Intervention, Ergebnis</x:v>
      </x:c>
      <x:c r="E47" s="3" t="str">
        <x:v>Tatsächliches Ereignis und späterer Eintrag sind getrennt erkennbar.</x:v>
      </x:c>
      <x:c r="F47" s="3" t="str">
        <x:v>E-P01</x:v>
      </x:c>
      <x:c r="G47" s="3" t="str">
        <x:v>B-02, A-03</x:v>
      </x:c>
      <x:c r="H47" s="5" t="str">
        <x:v>Bestand zu prüfen</x:v>
      </x:c>
      <x:c r="I47" s="5" t="str">
        <x:v>Offen</x:v>
      </x:c>
      <x:c r="J47" s="5" t="str">
        <x:v>Offen</x:v>
      </x:c>
      <x:c r="K47" s="5" t="str">
        <x:v>Offen</x:v>
      </x:c>
      <x:c r="L47" s="5" t="str">
        <x:v>Offen</x:v>
      </x:c>
      <x:c r="M47" s="5" t="str"/>
      <x:c r="N47" s="3" t="str">
        <x:f>IF(AND(H47="Umgesetzt",I47="Bestanden",OR(J47="Bestanden",J47="Entfällt geprüft"),OR(K47="Bestanden",K47="Entfällt geprüft"),OR(L47="Bestanden",L47="Entfällt geprüft"),M47&lt;&gt;""),"Abgenommen","Offen")</x:f>
        <x:v>Offen</x:v>
      </x:c>
      <x:c r="O47" s="3" t="str">
        <x:v>Bestehenden Ablauf für „Pflegebericht erstellen“ prüfen. Fehlende Datenfelder und Einzelfälle ergänzen, anschließend den genannten Abnahmefall nachweisen.</x:v>
      </x:c>
    </x:row>
    <x:row r="48" ht="44" customHeight="1">
      <x:c r="A48" s="3" t="str">
        <x:v>E-02</x:v>
      </x:c>
      <x:c r="B48" s="3" t="str">
        <x:v>E Dokumentation und Protokolle</x:v>
      </x:c>
      <x:c r="C48" s="3" t="str">
        <x:v>Geplante Leistung dokumentieren</x:v>
      </x:c>
      <x:c r="D48" s="3" t="str">
        <x:v>Planversion, Einsatz, ausgeführt, teilweise, nicht ausgeführt</x:v>
      </x:c>
      <x:c r="E48" s="3" t="str">
        <x:v>Nichtleistung wird mit Grund und erforderlicher Reaktion dokumentiert.</x:v>
      </x:c>
      <x:c r="F48" s="3" t="str">
        <x:v>E-P01</x:v>
      </x:c>
      <x:c r="G48" s="3" t="str">
        <x:v>B-02, A-03</x:v>
      </x:c>
      <x:c r="H48" s="5" t="str">
        <x:v>Bestand zu prüfen</x:v>
      </x:c>
      <x:c r="I48" s="5" t="str">
        <x:v>Offen</x:v>
      </x:c>
      <x:c r="J48" s="5" t="str">
        <x:v>Offen</x:v>
      </x:c>
      <x:c r="K48" s="5" t="str">
        <x:v>Offen</x:v>
      </x:c>
      <x:c r="L48" s="5" t="str">
        <x:v>Offen</x:v>
      </x:c>
      <x:c r="M48" s="5" t="str"/>
      <x:c r="N48" s="3" t="str">
        <x:f>IF(AND(H48="Umgesetzt",I48="Bestanden",OR(J48="Bestanden",J48="Entfällt geprüft"),OR(K48="Bestanden",K48="Entfällt geprüft"),OR(L48="Bestanden",L48="Entfällt geprüft"),M48&lt;&gt;""),"Abgenommen","Offen")</x:f>
        <x:v>Offen</x:v>
      </x:c>
      <x:c r="O48" s="3" t="str">
        <x:v>Bestehenden Ablauf für „Geplante Leistung dokumentieren“ prüfen. Fehlende Datenfelder und Einzelfälle ergänzen, anschließend den genannten Abnahmefall nachweisen.</x:v>
      </x:c>
    </x:row>
    <x:row r="49" ht="155" customHeight="1">
      <x:c r="A49" s="3" t="str">
        <x:v>E-03</x:v>
      </x:c>
      <x:c r="B49" s="3" t="str">
        <x:v>E Dokumentation und Protokolle</x:v>
      </x:c>
      <x:c r="C49" s="3" t="str">
        <x:v>Korrektur und Nachtrag</x:v>
      </x:c>
      <x:c r="D49" s="3" t="str">
        <x:v>Original, Ergänzung, Grund, Autor, Zeit, Zusammenhang</x:v>
      </x:c>
      <x:c r="E49" s="3" t="str">
        <x:v>Original bleibt sichtbar und ein Nachtrag verändert keine alte Unterschrift.</x:v>
      </x:c>
      <x:c r="F49" s="3" t="str">
        <x:v>E-P01</x:v>
      </x:c>
      <x:c r="G49" s="3" t="str">
        <x:v>B-02, A-03</x:v>
      </x:c>
      <x:c r="H49" s="5" t="str">
        <x:v>Teilweise umgesetzt</x:v>
      </x:c>
      <x:c r="I49" s="5" t="str">
        <x:v>Teilprüfung</x:v>
      </x:c>
      <x:c r="J49" s="5" t="str">
        <x:v>Offen</x:v>
      </x:c>
      <x:c r="K49" s="5" t="str">
        <x:v>Offen</x:v>
      </x:c>
      <x:c r="L49" s="5" t="str">
        <x:v>Offen</x:v>
      </x:c>
      <x:c r="M49" s="5" t="str">
        <x:v>CP133: Live-Rechte vor Berichtigung, Originalretry und Schließen geprüft; OriginalUUID/Nutzdaten erhalten. 4243 Tests.</x:v>
      </x:c>
      <x:c r="N49" s="3" t="str">
        <x:f>IF(AND(H49="Umgesetzt",I49="Bestanden",OR(J49="Bestanden",J49="Entfällt geprüft"),OR(K49="Bestanden",K49="Entfällt geprüft"),OR(L49="Bestanden",L49="Entfällt geprüft"),M49&lt;&gt;""),"Abgenommen","Offen")</x:f>
        <x:v>Offen</x:v>
      </x:c>
      <x:c r="O49" s="3" t="str">
        <x:v>Echte React-/SDK-/SQL-/RLS-Wiederaufnahme und fachliche Berichtigung nachweisen; Neustart offen.</x:v>
      </x:c>
    </x:row>
    <x:row r="50" ht="44" customHeight="1">
      <x:c r="A50" s="3" t="str">
        <x:v>E-04</x:v>
      </x:c>
      <x:c r="B50" s="3" t="str">
        <x:v>E Dokumentation und Protokolle</x:v>
      </x:c>
      <x:c r="C50" s="3" t="str">
        <x:v>Ablehnung durch Klienten</x:v>
      </x:c>
      <x:c r="D50" s="3" t="str">
        <x:v>Abgelehnte Maßnahme, geäußerter Grund, Beratung, Folgeschritt</x:v>
      </x:c>
      <x:c r="E50" s="3" t="str">
        <x:v>Ablehnung erzeugt keinen positiven Durchführungsnachweis.</x:v>
      </x:c>
      <x:c r="F50" s="3" t="str">
        <x:v>E-P02</x:v>
      </x:c>
      <x:c r="G50" s="3" t="str">
        <x:v>B-02, A-03</x:v>
      </x:c>
      <x:c r="H50" s="5" t="str">
        <x:v>Bestand zu prüfen</x:v>
      </x:c>
      <x:c r="I50" s="5" t="str">
        <x:v>Offen</x:v>
      </x:c>
      <x:c r="J50" s="5" t="str">
        <x:v>Offen</x:v>
      </x:c>
      <x:c r="K50" s="5" t="str">
        <x:v>Offen</x:v>
      </x:c>
      <x:c r="L50" s="5" t="str">
        <x:v>Offen</x:v>
      </x:c>
      <x:c r="M50" s="5" t="str"/>
      <x:c r="N50" s="3" t="str">
        <x:f>IF(AND(H50="Umgesetzt",I50="Bestanden",OR(J50="Bestanden",J50="Entfällt geprüft"),OR(K50="Bestanden",K50="Entfällt geprüft"),OR(L50="Bestanden",L50="Entfällt geprüft"),M50&lt;&gt;""),"Abgenommen","Offen")</x:f>
        <x:v>Offen</x:v>
      </x:c>
      <x:c r="O50" s="3" t="str">
        <x:v>Bestehenden Ablauf für „Ablehnung durch Klienten“ prüfen. Fehlende Datenfelder und Einzelfälle ergänzen, anschließend den genannten Abnahmefall nachweisen.</x:v>
      </x:c>
    </x:row>
    <x:row r="51" ht="44" customHeight="1">
      <x:c r="A51" s="3" t="str">
        <x:v>E-05</x:v>
      </x:c>
      <x:c r="B51" s="3" t="str">
        <x:v>E Dokumentation und Protokolle</x:v>
      </x:c>
      <x:c r="C51" s="3" t="str">
        <x:v>Besondere Vorkommnisse</x:v>
      </x:c>
      <x:c r="D51" s="3" t="str">
        <x:v>Ereignisart, Beteiligte, Zeitpunkt, Maßnahmen, Weitergabe</x:v>
      </x:c>
      <x:c r="E51" s="3" t="str">
        <x:v>Vorkommnis lässt sich von Beobachtung bis Abschluss verfolgen.</x:v>
      </x:c>
      <x:c r="F51" s="3" t="str">
        <x:v>E-P02</x:v>
      </x:c>
      <x:c r="G51" s="3" t="str">
        <x:v>B-02, A-03</x:v>
      </x:c>
      <x:c r="H51" s="5" t="str">
        <x:v>Bestand zu prüfen</x:v>
      </x:c>
      <x:c r="I51" s="5" t="str">
        <x:v>Offen</x:v>
      </x:c>
      <x:c r="J51" s="5" t="str">
        <x:v>Offen</x:v>
      </x:c>
      <x:c r="K51" s="5" t="str">
        <x:v>Offen</x:v>
      </x:c>
      <x:c r="L51" s="5" t="str">
        <x:v>Offen</x:v>
      </x:c>
      <x:c r="M51" s="5" t="str"/>
      <x:c r="N51" s="3" t="str">
        <x:f>IF(AND(H51="Umgesetzt",I51="Bestanden",OR(J51="Bestanden",J51="Entfällt geprüft"),OR(K51="Bestanden",K51="Entfällt geprüft"),OR(L51="Bestanden",L51="Entfällt geprüft"),M51&lt;&gt;""),"Abgenommen","Offen")</x:f>
        <x:v>Offen</x:v>
      </x:c>
      <x:c r="O51" s="3" t="str">
        <x:v>Bestehenden Ablauf für „Besondere Vorkommnisse“ prüfen. Fehlende Datenfelder und Einzelfälle ergänzen, anschließend den genannten Abnahmefall nachweisen.</x:v>
      </x:c>
    </x:row>
    <x:row r="52" ht="155" customHeight="1">
      <x:c r="A52" s="3" t="str">
        <x:v>E-06</x:v>
      </x:c>
      <x:c r="B52" s="3" t="str">
        <x:v>E Dokumentation und Protokolle</x:v>
      </x:c>
      <x:c r="C52" s="3" t="str">
        <x:v>Strukturierte Protokolle</x:v>
      </x:c>
      <x:c r="D52" s="3" t="str">
        <x:v>Protokolltyp, Felder, Einheiten, Verlauf, Fachversion</x:v>
      </x:c>
      <x:c r="E52" s="3" t="str">
        <x:v>Fehlende Pflichtangaben können nicht durch beliebigen Freitext umgangen werden.</x:v>
      </x:c>
      <x:c r="F52" s="3" t="str">
        <x:v>E-P02</x:v>
      </x:c>
      <x:c r="G52" s="3" t="str">
        <x:v>B-02, A-03</x:v>
      </x:c>
      <x:c r="H52" s="5" t="str">
        <x:v>Teilweise umgesetzt</x:v>
      </x:c>
      <x:c r="I52" s="5" t="str">
        <x:v>Teilprüfung</x:v>
      </x:c>
      <x:c r="J52" s="5" t="str">
        <x:v>Offen</x:v>
      </x:c>
      <x:c r="K52" s="5" t="str">
        <x:v>Offen</x:v>
      </x:c>
      <x:c r="L52" s="5" t="str">
        <x:v>Offen</x:v>
      </x:c>
      <x:c r="M52" s="5" t="str">
        <x:v>CP29: Fünf eigene Protokollarten: Miktion und weitere Flüssigkeitsausfuhr mit Pflichtfeldern, Herkunft, Messqualität und Originalverlauf ergänzt. 127 neue Fälle, 1293/1293 kumulativ. SQLentwurf nicht ausgeführt; SDK/TSX/Layout-/Pflege-/Rechtsabnahme offen.</x:v>
      </x:c>
      <x:c r="N52" s="3" t="str">
        <x:f>IF(AND(H52="Umgesetzt",I52="Bestanden",OR(J52="Bestanden",J52="Entfällt geprüft"),OR(K52="Bestanden",K52="Entfällt geprüft"),OR(L52="Bestanden",L52="Entfällt geprüft"),M52&lt;&gt;""),"Abgenommen","Offen")</x:f>
        <x:v>Offen</x:v>
      </x:c>
      <x:c r="O52" s="3" t="str">
        <x:v>Weitere Protokollarten separat ergänzen. Native SQL/RLS-/SDK-, Parallelitäts-/Replay-/Rollbackprüfung und breite/schmale Webabnahme nachweisen.</x:v>
      </x:c>
    </x:row>
    <x:row r="53" ht="44" customHeight="1">
      <x:c r="A53" s="3" t="str">
        <x:v>E-07</x:v>
      </x:c>
      <x:c r="B53" s="3" t="str">
        <x:v>E Dokumentation und Protokolle</x:v>
      </x:c>
      <x:c r="C53" s="3" t="str">
        <x:v>Unterschriften und Bestätigungen</x:v>
      </x:c>
      <x:c r="D53" s="3" t="str">
        <x:v>Bestätigende Person, Rolle, Umfang, Zeit, Nachweisversion</x:v>
      </x:c>
      <x:c r="E53" s="3" t="str">
        <x:v>Bestätigung ist eindeutig dem bestätigten Inhalt zugeordnet.</x:v>
      </x:c>
      <x:c r="F53" s="3" t="str">
        <x:v>E-P03</x:v>
      </x:c>
      <x:c r="G53" s="3" t="str">
        <x:v>B-02, A-03</x:v>
      </x:c>
      <x:c r="H53" s="5" t="str">
        <x:v>Teilweise umgesetzt</x:v>
      </x:c>
      <x:c r="I53" s="5" t="str">
        <x:v>Teilprüfung</x:v>
      </x:c>
      <x:c r="J53" s="5" t="str">
        <x:v>Offen</x:v>
      </x:c>
      <x:c r="K53" s="5" t="str">
        <x:v>Offen</x:v>
      </x:c>
      <x:c r="L53" s="5" t="str">
        <x:v>Offen</x:v>
      </x:c>
      <x:c r="M53" s="5" t="str">
        <x:v>CP117: Ganzer gelieferter Belegbestand mit nativen IDs/Originalzeiten; Status erzeugt keine Signatur. 56 neue Fälle.</x:v>
      </x:c>
      <x:c r="N53" s="3" t="str">
        <x:f>IF(AND(H53="Umgesetzt",I53="Bestanden",OR(J53="Bestanden",J53="Entfällt geprüft"),OR(K53="Bestanden",K53="Entfällt geprüft"),OR(L53="Bestanden",L53="Entfällt geprüft"),M53&lt;&gt;""),"Abgenommen","Offen")</x:f>
        <x:v>Offen</x:v>
      </x:c>
      <x:c r="O53" s="3" t="str">
        <x:v>Authentifizierte Person, bestätigte Inhaltsversion und echte Signatur sowie SQL/Browser/Fachabnahme nachweisen.</x:v>
      </x:c>
    </x:row>
    <x:row r="54" ht="155" customHeight="1">
      <x:c r="A54" s="3" t="str">
        <x:v>E-08</x:v>
      </x:c>
      <x:c r="B54" s="3" t="str">
        <x:v>E Dokumentation und Protokolle</x:v>
      </x:c>
      <x:c r="C54" s="3" t="str">
        <x:v>Dokumentation vollständig anzeigen</x:v>
      </x:c>
      <x:c r="D54" s="3" t="str">
        <x:v>Pagination, Zeitraum, Sortierung, Filter, Druck</x:v>
      </x:c>
      <x:c r="E54" s="3" t="str">
        <x:v>Mehr als eine Abfrageseite geht nicht stillschweigend verloren.</x:v>
      </x:c>
      <x:c r="F54" s="3" t="str">
        <x:v>E-P03</x:v>
      </x:c>
      <x:c r="G54" s="3" t="str">
        <x:v>B-02, A-03</x:v>
      </x:c>
      <x:c r="H54" s="5" t="str">
        <x:v>Teilweise umgesetzt</x:v>
      </x:c>
      <x:c r="I54" s="5" t="str">
        <x:v>Teilprüfung</x:v>
      </x:c>
      <x:c r="J54" s="5" t="str">
        <x:v>Offen</x:v>
      </x:c>
      <x:c r="K54" s="5" t="str">
        <x:v>Offen</x:v>
      </x:c>
      <x:c r="L54" s="5" t="str">
        <x:v>Offen</x:v>
      </x:c>
      <x:c r="M54" s="5" t="str">
        <x:v>CP153: WholeMOriginale vor Teilauswahl/Mehr; ausschließlich bewusst ausgewählte primitive Themen-/Planfelder, Quellen und getrennte Originalzeitrollen. 74 neue Fälle; 6400 lokale Tests und Root115Checks/14Szenarien.</x:v>
      </x:c>
      <x:c r="N54" s="3" t="str">
        <x:f>IF(AND(H54="Umgesetzt",I54="Bestanden",OR(J54="Bestanden",J54="Entfällt geprüft"),OR(K54="Bestanden",K54="Entfällt geprüft"),OR(L54="Bestanden",L54="Entfällt geprüft"),M54&lt;&gt;""),"Abgenommen","Offen")</x:f>
        <x:v>Offen</x:v>
      </x:c>
      <x:c r="O54" s="3" t="str">
        <x:v>Privates ungebundenes Panel in erlaubten Host integrieren; wirkliche breite/schmale React-/Browser-/Fokus-/RLS-/SQL-/Exportabnahmen offen.</x:v>
      </x:c>
    </x:row>
    <x:row r="55" ht="155" customHeight="1">
      <x:c r="A55" s="3" t="str">
        <x:v>E-09</x:v>
      </x:c>
      <x:c r="B55" s="3" t="str">
        <x:v>E Dokumentation und Protokolle</x:v>
      </x:c>
      <x:c r="C55" s="3" t="str">
        <x:v>Kontrollprotokolle zuordnen</x:v>
      </x:c>
      <x:c r="D55" s="3" t="str">
        <x:v>Anlass, Kontrolle, Frequenz, zuständige Person, Ergebnis</x:v>
      </x:c>
      <x:c r="E55" s="3" t="str">
        <x:v>Jeder Kontrollauftrag führt zu tatsächlichem Ergebnis oder dokumentierter Nichterfüllung.</x:v>
      </x:c>
      <x:c r="F55" s="3" t="str">
        <x:v>E-P03</x:v>
      </x:c>
      <x:c r="G55" s="3" t="str">
        <x:v>B-02, A-03</x:v>
      </x:c>
      <x:c r="H55" s="5" t="str">
        <x:v>Teilweise umgesetzt</x:v>
      </x:c>
      <x:c r="I55" s="5" t="str">
        <x:v>Teilprüfung</x:v>
      </x:c>
      <x:c r="J55" s="5" t="str">
        <x:v>Offen</x:v>
      </x:c>
      <x:c r="K55" s="5" t="str">
        <x:v>Offen</x:v>
      </x:c>
      <x:c r="L55" s="5" t="str">
        <x:v>Offen</x:v>
      </x:c>
      <x:c r="M55" s="5" t="str">
        <x:v>CP145: Neue Vitalkontrolle vor tatsächlichem nativen Mikrosekundenkopf oder bei ungeklärter Zeit gesperrt; ungewisser Originalretry behält ID/Nutzlast. 23/6 Komposition bestanden.</x:v>
      </x:c>
      <x:c r="N55" s="3" t="str">
        <x:f>IF(AND(H55="Umgesetzt",I55="Bestanden",OR(J55="Bestanden",J55="Entfällt geprüft"),OR(K55="Bestanden",K55="Entfällt geprüft"),OR(L55="Bestanden",L55="Entfällt geprüft"),M55&lt;&gt;""),"Abgenommen","Offen")</x:f>
        <x:v>Offen</x:v>
      </x:c>
      <x:c r="O55" s="3" t="str">
        <x:v>Native Owner-/Rechte-/Sessionbindung der Folgeaufträge ergänzen; tatsächliches Ergebnis/Nichterfüllung und Pflege-/Design-/Rechtsabnahme offen.</x:v>
      </x:c>
    </x:row>
    <x:row r="56" ht="155" customHeight="1">
      <x:c r="A56" s="3" t="str">
        <x:v>E-10</x:v>
      </x:c>
      <x:c r="B56" s="3" t="str">
        <x:v>E Dokumentation und Protokolle</x:v>
      </x:c>
      <x:c r="C56" s="3" t="str">
        <x:v>Fremddokumentation kennzeichnen</x:v>
      </x:c>
      <x:c r="D56" s="3" t="str">
        <x:v>Externe Quelle, Autor, Eingang, Ereignisdatum, Übernahmeprüfung</x:v>
      </x:c>
      <x:c r="E56" s="3" t="str">
        <x:v>Übernommener Befund wird nicht als eigene durchgeführte Pflegehandlung dargestellt.</x:v>
      </x:c>
      <x:c r="F56" s="3" t="str">
        <x:v>E-P04</x:v>
      </x:c>
      <x:c r="G56" s="3" t="str">
        <x:v>B-02, A-03</x:v>
      </x:c>
      <x:c r="H56" s="5" t="str">
        <x:v>Teilweise umgesetzt</x:v>
      </x:c>
      <x:c r="I56" s="5" t="str">
        <x:v>Teilprüfung</x:v>
      </x:c>
      <x:c r="J56" s="5" t="str">
        <x:v>Offen</x:v>
      </x:c>
      <x:c r="K56" s="5" t="str">
        <x:v>Offen</x:v>
      </x:c>
      <x:c r="L56" s="5" t="str">
        <x:v>Offen</x:v>
      </x:c>
      <x:c r="M56" s="5" t="str">
        <x:v>CP136: Native Signaturkennung, Dokument-FK, Originalname/-rolle sowie Signatur- und Erfassungszeit getrennt; keine geprüfte Signatur oder eigene Durchführung/Freigabe daraus. 4736 Tests.</x:v>
      </x:c>
      <x:c r="N56" s="3" t="str">
        <x:f>IF(AND(H56="Umgesetzt",I56="Bestanden",OR(J56="Bestanden",J56="Entfällt geprüft"),OR(K56="Bestanden",K56="Entfällt geprüft"),OR(L56="Bestanden",L56="Entfällt geprüft"),M56&lt;&gt;""),"Abgenommen","Offen")</x:f>
        <x:v>Offen</x:v>
      </x:c>
      <x:c r="O56" s="3" t="str">
        <x:v>Tatsächliche Fremdbefunde fachlich abnehmen; native Verknüpfungen, Rechte und reale Browser-/SQL-/RLS-Pfade nachweisen.</x:v>
      </x:c>
    </x:row>
    <x:row r="57" ht="44" customHeight="1">
      <x:c r="A57" s="3" t="str">
        <x:v>F-01</x:v>
      </x:c>
      <x:c r="B57" s="3" t="str">
        <x:v>F Grundpflege und Prophylaxen</x:v>
      </x:c>
      <x:c r="C57" s="3" t="str">
        <x:v>Körperpflege</x:v>
      </x:c>
      <x:c r="D57" s="3" t="str">
        <x:v>Gewohnheiten, Selbstständigkeit, Hautbeobachtung, Hilfeumfang</x:v>
      </x:c>
      <x:c r="E57" s="3" t="str">
        <x:v>Teilwaschung, Ganzkörperpflege und Ablehnung sind unterscheidbar.</x:v>
      </x:c>
      <x:c r="F57" s="3" t="str">
        <x:v>F-P01</x:v>
      </x:c>
      <x:c r="G57" s="3" t="str">
        <x:v>C-08, D-02</x:v>
      </x:c>
      <x:c r="H57" s="5" t="str">
        <x:v>Bestand zu prüfen</x:v>
      </x:c>
      <x:c r="I57" s="5" t="str">
        <x:v>Offen</x:v>
      </x:c>
      <x:c r="J57" s="5" t="str">
        <x:v>Offen</x:v>
      </x:c>
      <x:c r="K57" s="5" t="str">
        <x:v>Offen</x:v>
      </x:c>
      <x:c r="L57" s="5" t="str">
        <x:v>Offen</x:v>
      </x:c>
      <x:c r="M57" s="5" t="str"/>
      <x:c r="N57" s="3" t="str">
        <x:f>IF(AND(H57="Umgesetzt",I57="Bestanden",OR(J57="Bestanden",J57="Entfällt geprüft"),OR(K57="Bestanden",K57="Entfällt geprüft"),OR(L57="Bestanden",L57="Entfällt geprüft"),M57&lt;&gt;""),"Abgenommen","Offen")</x:f>
        <x:v>Offen</x:v>
      </x:c>
      <x:c r="O57" s="3" t="str">
        <x:v>Bestehenden Ablauf für „Körperpflege“ prüfen. Fehlende Datenfelder und Einzelfälle ergänzen, anschließend den genannten Abnahmefall nachweisen.</x:v>
      </x:c>
    </x:row>
    <x:row r="58" ht="44" customHeight="1">
      <x:c r="A58" s="3" t="str">
        <x:v>F-02</x:v>
      </x:c>
      <x:c r="B58" s="3" t="str">
        <x:v>F Grundpflege und Prophylaxen</x:v>
      </x:c>
      <x:c r="C58" s="3" t="str">
        <x:v>Mund und Zahnpflege</x:v>
      </x:c>
      <x:c r="D58" s="3" t="str">
        <x:v>Zähne, Prothese, Schleimhaut, Hilfsmittel, Beobachtung</x:v>
      </x:c>
      <x:c r="E58" s="3" t="str">
        <x:v>Auffälligkeit führt zu dokumentierter Reaktion und zuständiger Weitergabe.</x:v>
      </x:c>
      <x:c r="F58" s="3" t="str">
        <x:v>F-P01</x:v>
      </x:c>
      <x:c r="G58" s="3" t="str">
        <x:v>C-08, D-02</x:v>
      </x:c>
      <x:c r="H58" s="5" t="str">
        <x:v>Bestand zu prüfen</x:v>
      </x:c>
      <x:c r="I58" s="5" t="str">
        <x:v>Offen</x:v>
      </x:c>
      <x:c r="J58" s="5" t="str">
        <x:v>Offen</x:v>
      </x:c>
      <x:c r="K58" s="5" t="str">
        <x:v>Offen</x:v>
      </x:c>
      <x:c r="L58" s="5" t="str">
        <x:v>Offen</x:v>
      </x:c>
      <x:c r="M58" s="5" t="str"/>
      <x:c r="N58" s="3" t="str">
        <x:f>IF(AND(H58="Umgesetzt",I58="Bestanden",OR(J58="Bestanden",J58="Entfällt geprüft"),OR(K58="Bestanden",K58="Entfällt geprüft"),OR(L58="Bestanden",L58="Entfällt geprüft"),M58&lt;&gt;""),"Abgenommen","Offen")</x:f>
        <x:v>Offen</x:v>
      </x:c>
      <x:c r="O58" s="3" t="str">
        <x:v>Bestehenden Ablauf für „Mund und Zahnpflege“ prüfen. Fehlende Datenfelder und Einzelfälle ergänzen, anschließend den genannten Abnahmefall nachweisen.</x:v>
      </x:c>
    </x:row>
    <x:row r="59" ht="44" customHeight="1">
      <x:c r="A59" s="3" t="str">
        <x:v>F-03</x:v>
      </x:c>
      <x:c r="B59" s="3" t="str">
        <x:v>F Grundpflege und Prophylaxen</x:v>
      </x:c>
      <x:c r="C59" s="3" t="str">
        <x:v>An und Auskleiden</x:v>
      </x:c>
      <x:c r="D59" s="3" t="str">
        <x:v>Kleidung, Unterstützung, Ressourcen, relevante Einschränkung</x:v>
      </x:c>
      <x:c r="E59" s="3" t="str">
        <x:v>Unterstützung wird passend zum tatsächlichen Hilfeumfang erfasst.</x:v>
      </x:c>
      <x:c r="F59" s="3" t="str">
        <x:v>F-P01</x:v>
      </x:c>
      <x:c r="G59" s="3" t="str">
        <x:v>C-08, D-02</x:v>
      </x:c>
      <x:c r="H59" s="5" t="str">
        <x:v>Bestand zu prüfen</x:v>
      </x:c>
      <x:c r="I59" s="5" t="str">
        <x:v>Offen</x:v>
      </x:c>
      <x:c r="J59" s="5" t="str">
        <x:v>Offen</x:v>
      </x:c>
      <x:c r="K59" s="5" t="str">
        <x:v>Offen</x:v>
      </x:c>
      <x:c r="L59" s="5" t="str">
        <x:v>Offen</x:v>
      </x:c>
      <x:c r="M59" s="5" t="str"/>
      <x:c r="N59" s="3" t="str">
        <x:f>IF(AND(H59="Umgesetzt",I59="Bestanden",OR(J59="Bestanden",J59="Entfällt geprüft"),OR(K59="Bestanden",K59="Entfällt geprüft"),OR(L59="Bestanden",L59="Entfällt geprüft"),M59&lt;&gt;""),"Abgenommen","Offen")</x:f>
        <x:v>Offen</x:v>
      </x:c>
      <x:c r="O59" s="3" t="str">
        <x:v>Bestehenden Ablauf für „An und Auskleiden“ prüfen. Fehlende Datenfelder und Einzelfälle ergänzen, anschließend den genannten Abnahmefall nachweisen.</x:v>
      </x:c>
    </x:row>
    <x:row r="60" ht="44" customHeight="1">
      <x:c r="A60" s="3" t="str">
        <x:v>F-04</x:v>
      </x:c>
      <x:c r="B60" s="3" t="str">
        <x:v>F Grundpflege und Prophylaxen</x:v>
      </x:c>
      <x:c r="C60" s="3" t="str">
        <x:v>Transfer und Positionierung</x:v>
      </x:c>
      <x:c r="D60" s="3" t="str">
        <x:v>Technik, Hilfsmittel, Assistenzbedarf, Position, Verträglichkeit</x:v>
      </x:c>
      <x:c r="E60" s="3" t="str">
        <x:v>Erforderliche zweite Person wird vor Einsatzplanung berücksichtigt.</x:v>
      </x:c>
      <x:c r="F60" s="3" t="str">
        <x:v>F-P02</x:v>
      </x:c>
      <x:c r="G60" s="3" t="str">
        <x:v>C-08, D-02</x:v>
      </x:c>
      <x:c r="H60" s="5" t="str">
        <x:v>Bestand zu prüfen</x:v>
      </x:c>
      <x:c r="I60" s="5" t="str">
        <x:v>Offen</x:v>
      </x:c>
      <x:c r="J60" s="5" t="str">
        <x:v>Offen</x:v>
      </x:c>
      <x:c r="K60" s="5" t="str">
        <x:v>Offen</x:v>
      </x:c>
      <x:c r="L60" s="5" t="str">
        <x:v>Offen</x:v>
      </x:c>
      <x:c r="M60" s="5" t="str"/>
      <x:c r="N60" s="3" t="str">
        <x:f>IF(AND(H60="Umgesetzt",I60="Bestanden",OR(J60="Bestanden",J60="Entfällt geprüft"),OR(K60="Bestanden",K60="Entfällt geprüft"),OR(L60="Bestanden",L60="Entfällt geprüft"),M60&lt;&gt;""),"Abgenommen","Offen")</x:f>
        <x:v>Offen</x:v>
      </x:c>
      <x:c r="O60" s="3" t="str">
        <x:v>Bestehenden Ablauf für „Transfer und Positionierung“ prüfen. Fehlende Datenfelder und Einzelfälle ergänzen, anschließend den genannten Abnahmefall nachweisen.</x:v>
      </x:c>
    </x:row>
    <x:row r="61" ht="44" customHeight="1">
      <x:c r="A61" s="3" t="str">
        <x:v>F-05</x:v>
      </x:c>
      <x:c r="B61" s="3" t="str">
        <x:v>F Grundpflege und Prophylaxen</x:v>
      </x:c>
      <x:c r="C61" s="3" t="str">
        <x:v>Dekubitusprävention</x:v>
      </x:c>
      <x:c r="D61" s="3" t="str">
        <x:v>Individuelles Risiko, Positionierungsplan, Hautkontrolle, Entlastung</x:v>
      </x:c>
      <x:c r="E61" s="3" t="str">
        <x:v>Neue Hautveränderung löst definierte Überprüfung aus.</x:v>
      </x:c>
      <x:c r="F61" s="3" t="str">
        <x:v>F-P02</x:v>
      </x:c>
      <x:c r="G61" s="3" t="str">
        <x:v>C-08, D-02</x:v>
      </x:c>
      <x:c r="H61" s="5" t="str">
        <x:v>Teilweise umgesetzt</x:v>
      </x:c>
      <x:c r="I61" s="5" t="str">
        <x:v>Teilprüfung</x:v>
      </x:c>
      <x:c r="J61" s="5" t="str">
        <x:v>Offen</x:v>
      </x:c>
      <x:c r="K61" s="5" t="str">
        <x:v>Offen</x:v>
      </x:c>
      <x:c r="L61" s="5" t="str">
        <x:v>Offen</x:v>
      </x:c>
      <x:c r="M61" s="5" t="str">
        <x:v>CP148: Präventionsoriginale schließen SDKwechsel vor letzter Ausgabe und verlangen eigene native Marker-/Assessment-/Historykennungen. 33 neue Risiken, keine aktuelle Appfreigabe.</x:v>
      </x:c>
      <x:c r="N61" s="3" t="str">
        <x:f>IF(AND(H61="Umgesetzt",I61="Bestanden",OR(J61="Bestanden",J61="Entfällt geprüft"),OR(K61="Bestanden",K61="Entfällt geprüft"),OR(L61="Bestanden",L61="Entfällt geprüft"),M61&lt;&gt;""),"Abgenommen","Offen")</x:f>
        <x:v>Offen</x:v>
      </x:c>
      <x:c r="O61" s="3" t="str">
        <x:v>Neue Hautveränderung mit definierter Überprüfung/Zuständigkeit/Abschluss offen. Ungebundenes Panel braucht Host/Markerindex/FK und Pflege-/Design-/Rechtsabnahmen.</x:v>
      </x:c>
    </x:row>
    <x:row r="62" ht="44" customHeight="1">
      <x:c r="A62" s="3" t="str">
        <x:v>F-06</x:v>
      </x:c>
      <x:c r="B62" s="3" t="str">
        <x:v>F Grundpflege und Prophylaxen</x:v>
      </x:c>
      <x:c r="C62" s="3" t="str">
        <x:v>Sturzprävention</x:v>
      </x:c>
      <x:c r="D62" s="3" t="str">
        <x:v>Risiko, Umgebung, Hilfsmittel, Beratung, vereinbarte Maßnahmen</x:v>
      </x:c>
      <x:c r="E62" s="3" t="str">
        <x:v>Sturzereignis ist mit Präventionsplan und Neubewertung verknüpft.</x:v>
      </x:c>
      <x:c r="F62" s="3" t="str">
        <x:v>F-P02</x:v>
      </x:c>
      <x:c r="G62" s="3" t="str">
        <x:v>C-08, D-02</x:v>
      </x:c>
      <x:c r="H62" s="5" t="str">
        <x:v>Teilweise umgesetzt</x:v>
      </x:c>
      <x:c r="I62" s="5" t="str">
        <x:v>Teilprüfung</x:v>
      </x:c>
      <x:c r="J62" s="5" t="str">
        <x:v>Offen</x:v>
      </x:c>
      <x:c r="K62" s="5" t="str">
        <x:v>Offen</x:v>
      </x:c>
      <x:c r="L62" s="5" t="str">
        <x:v>Offen</x:v>
      </x:c>
      <x:c r="M62" s="5" t="str">
        <x:v>CP167/171/172 erhalten native Risikoprüfung und Plan-Assessmentbezug. CP175 bindet Historie, Writer und Session an feste eigene Originalbelege statt ersetzbarer Readerantworten. 21 neue Fälle, 8071 Tests, native64/7 und Session29/2. Ganze Originale, technische Antwortfakten und unklare Journale erhalten; keine klinische Abnahme.</x:v>
      </x:c>
      <x:c r="N62" s="3" t="str">
        <x:f>IF(AND(H62="Umgesetzt",I62="Bestanden",OR(J62="Bestanden",J62="Entfällt geprüft"),OR(K62="Bestanden",K62="Entfällt geprüft"),OR(L62="Bestanden",L62="Entfällt geprüft"),M62&lt;&gt;""),"Abgenommen","Offen")</x:f>
        <x:v>Offen</x:v>
      </x:c>
      <x:c r="O62" s="3" t="str">
        <x:v>Sturzereignis, Präventionsplan, tatsächliche Neubewertung und ausdrücklich angelegte Folgeaufträge getrennt mit nativen Kennungen nachweisen. Echten Browser/React/Layout, SQL/RLS und aktiven Pflegefall prüfen; Pflege/Recht offen.</x:v>
      </x:c>
    </x:row>
    <x:row r="63" ht="44" customHeight="1">
      <x:c r="A63" s="3" t="str">
        <x:v>F-07</x:v>
      </x:c>
      <x:c r="B63" s="3" t="str">
        <x:v>F Grundpflege und Prophylaxen</x:v>
      </x:c>
      <x:c r="C63" s="3" t="str">
        <x:v>Kontrakturprävention und Aktivierung</x:v>
      </x:c>
      <x:c r="D63" s="3" t="str">
        <x:v>Bewegungsmöglichkeit, Anleitung, vereinbarte Übung, Verträglichkeit</x:v>
      </x:c>
      <x:c r="E63" s="3" t="str">
        <x:v>Dokumentation zeigt tatsächliche Unterstützung statt pauschaler Erledigung.</x:v>
      </x:c>
      <x:c r="F63" s="3" t="str">
        <x:v>F-P03</x:v>
      </x:c>
      <x:c r="G63" s="3" t="str">
        <x:v>C-08, D-02</x:v>
      </x:c>
      <x:c r="H63" s="5" t="str">
        <x:v>Bestand zu prüfen</x:v>
      </x:c>
      <x:c r="I63" s="5" t="str">
        <x:v>Offen</x:v>
      </x:c>
      <x:c r="J63" s="5" t="str">
        <x:v>Offen</x:v>
      </x:c>
      <x:c r="K63" s="5" t="str">
        <x:v>Offen</x:v>
      </x:c>
      <x:c r="L63" s="5" t="str">
        <x:v>Offen</x:v>
      </x:c>
      <x:c r="M63" s="5" t="str"/>
      <x:c r="N63" s="3" t="str">
        <x:f>IF(AND(H63="Umgesetzt",I63="Bestanden",OR(J63="Bestanden",J63="Entfällt geprüft"),OR(K63="Bestanden",K63="Entfällt geprüft"),OR(L63="Bestanden",L63="Entfällt geprüft"),M63&lt;&gt;""),"Abgenommen","Offen")</x:f>
        <x:v>Offen</x:v>
      </x:c>
      <x:c r="O63" s="3" t="str">
        <x:v>Bestehenden Ablauf für „Kontrakturprävention und Aktivierung“ prüfen. Fehlende Datenfelder und Einzelfälle ergänzen, anschließend den genannten Abnahmefall nachweisen.</x:v>
      </x:c>
    </x:row>
    <x:row r="64" ht="44" customHeight="1">
      <x:c r="A64" s="3" t="str">
        <x:v>F-08</x:v>
      </x:c>
      <x:c r="B64" s="3" t="str">
        <x:v>F Grundpflege und Prophylaxen</x:v>
      </x:c>
      <x:c r="C64" s="3" t="str">
        <x:v>Individuelle weitere Prophylaxen</x:v>
      </x:c>
      <x:c r="D64" s="3" t="str">
        <x:v>Risikolage, fachliche Grundlage, Maßnahme, Kontrolle</x:v>
      </x:c>
      <x:c r="E64" s="3" t="str">
        <x:v>Pauschale Standardmaßnahme ersetzt keine individuelle Entscheidung.</x:v>
      </x:c>
      <x:c r="F64" s="3" t="str">
        <x:v>F-P03</x:v>
      </x:c>
      <x:c r="G64" s="3" t="str">
        <x:v>C-08, D-02</x:v>
      </x:c>
      <x:c r="H64" s="5" t="str">
        <x:v>Bestand zu prüfen</x:v>
      </x:c>
      <x:c r="I64" s="5" t="str">
        <x:v>Offen</x:v>
      </x:c>
      <x:c r="J64" s="5" t="str">
        <x:v>Offen</x:v>
      </x:c>
      <x:c r="K64" s="5" t="str">
        <x:v>Offen</x:v>
      </x:c>
      <x:c r="L64" s="5" t="str">
        <x:v>Offen</x:v>
      </x:c>
      <x:c r="M64" s="5" t="str"/>
      <x:c r="N64" s="3" t="str">
        <x:f>IF(AND(H64="Umgesetzt",I64="Bestanden",OR(J64="Bestanden",J64="Entfällt geprüft"),OR(K64="Bestanden",K64="Entfällt geprüft"),OR(L64="Bestanden",L64="Entfällt geprüft"),M64&lt;&gt;""),"Abgenommen","Offen")</x:f>
        <x:v>Offen</x:v>
      </x:c>
      <x:c r="O64" s="3" t="str">
        <x:v>Bestehenden Ablauf für „Individuelle weitere Prophylaxen“ prüfen. Fehlende Datenfelder und Einzelfälle ergänzen, anschließend den genannten Abnahmefall nachweisen.</x:v>
      </x:c>
    </x:row>
    <x:row r="65" ht="44" customHeight="1">
      <x:c r="A65" s="3" t="str">
        <x:v>G-01</x:v>
      </x:c>
      <x:c r="B65" s="3" t="str">
        <x:v>G Ernährung und Ausscheidung</x:v>
      </x:c>
      <x:c r="C65" s="3" t="str">
        <x:v>Ernährungsassessment</x:v>
      </x:c>
      <x:c r="D65" s="3" t="str">
        <x:v>Gewicht, Verlauf, Essverhalten, Risiko, Instrument, Ressourcen</x:v>
      </x:c>
      <x:c r="E65" s="3" t="str">
        <x:v>Fehlender Messwert ist unterscheidbar von einem bestätigten Wert.</x:v>
      </x:c>
      <x:c r="F65" s="3" t="str">
        <x:v>G-P01</x:v>
      </x:c>
      <x:c r="G65" s="3" t="str">
        <x:v>C-08, D-02</x:v>
      </x:c>
      <x:c r="H65" s="5" t="str">
        <x:v>Bestand zu prüfen</x:v>
      </x:c>
      <x:c r="I65" s="5" t="str">
        <x:v>Offen</x:v>
      </x:c>
      <x:c r="J65" s="5" t="str">
        <x:v>Offen</x:v>
      </x:c>
      <x:c r="K65" s="5" t="str">
        <x:v>Offen</x:v>
      </x:c>
      <x:c r="L65" s="5" t="str">
        <x:v>Offen</x:v>
      </x:c>
      <x:c r="M65" s="5" t="str"/>
      <x:c r="N65" s="3" t="str">
        <x:f>IF(AND(H65="Umgesetzt",I65="Bestanden",OR(J65="Bestanden",J65="Entfällt geprüft"),OR(K65="Bestanden",K65="Entfällt geprüft"),OR(L65="Bestanden",L65="Entfällt geprüft"),M65&lt;&gt;""),"Abgenommen","Offen")</x:f>
        <x:v>Offen</x:v>
      </x:c>
      <x:c r="O65" s="3" t="str">
        <x:v>Bestehenden Ablauf für „Ernährungsassessment“ prüfen. Fehlende Datenfelder und Einzelfälle ergänzen, anschließend den genannten Abnahmefall nachweisen.</x:v>
      </x:c>
    </x:row>
    <x:row r="66" ht="155" customHeight="1">
      <x:c r="A66" s="3" t="str">
        <x:v>G-02</x:v>
      </x:c>
      <x:c r="B66" s="3" t="str">
        <x:v>G Ernährung und Ausscheidung</x:v>
      </x:c>
      <x:c r="C66" s="3" t="str">
        <x:v>Mahlzeitenunterstützung</x:v>
      </x:c>
      <x:c r="D66" s="3" t="str">
        <x:v>Kostform, Vorlieben, Hilfeumfang, verzehrte Menge</x:v>
      </x:c>
      <x:c r="E66" s="3" t="str">
        <x:v>Tatsächlich gegessene Menge bleibt von angebotenem Essen unterscheidbar.</x:v>
      </x:c>
      <x:c r="F66" s="3" t="str">
        <x:v>G-P01</x:v>
      </x:c>
      <x:c r="G66" s="3" t="str">
        <x:v>C-08, D-02</x:v>
      </x:c>
      <x:c r="H66" s="5" t="str">
        <x:v>Teilweise umgesetzt</x:v>
      </x:c>
      <x:c r="I66" s="5" t="str">
        <x:v>Teilprüfung</x:v>
      </x:c>
      <x:c r="J66" s="5" t="str">
        <x:v>Offen</x:v>
      </x:c>
      <x:c r="K66" s="5" t="str">
        <x:v>Offen</x:v>
      </x:c>
      <x:c r="L66" s="5" t="str">
        <x:v>Offen</x:v>
      </x:c>
      <x:c r="M66" s="5" t="str">
        <x:v>CP27: Mahlzeitenangebot, tatsächlich aufgenommene Menge, Hilfeumfang, Abweichung und Quelle getrennt; Gramm und Portionsanteil ohne automatische Umrechnung. 1084/1084 Fälle. Verordnung/Sonden-/Schluckworkflow und Abnahmen offen. CP28: aktueller Protokollkopf als native Kontrollquelle, Originalvereinbarung ausdrücklich übernehmen; getrennte Aufträge bleiben nach Berichtigung zugeordnet, belegter Ergebnisbezug. 82 neue Fälle, 1166/1166 kumulativ. Webnavigation korrigiert; SQL/SDK/Layout-/Fach-/Rechtsabnahme offen.</x:v>
      </x:c>
      <x:c r="N66" s="3" t="str">
        <x:f>IF(AND(H66="Umgesetzt",I66="Bestanden",OR(J66="Bestanden",J66="Entfällt geprüft"),OR(K66="Bestanden",K66="Entfällt geprüft"),OR(L66="Bestanden",L66="Entfällt geprüft"),M66&lt;&gt;""),"Abgenommen","Offen")</x:f>
        <x:v>Offen</x:v>
      </x:c>
      <x:c r="O66" s="3" t="str">
        <x:v>Native Protokoll-/Kontrolladapter in freigegebenem Testbestand gemeinsam prüfen: RLS, aktuelle Rechte, Berichtigung/Rücknahme parallel zu Auftragsanlage, Replay und Rollback. Webnavigation und Originaldetails breit/schmal abnehmen. Mahlzeitenworkflow mit eigener Beobachtung/Fremdangabe, Ablehnung, Nullaufnahme und unquantifizierter Aufnahme praktisch prüfen. Individuelle Pflegeplanung und spezialisierte Ernährungsabläufe gesondert anbinden.</x:v>
      </x:c>
    </x:row>
    <x:row r="67" ht="155" customHeight="1">
      <x:c r="A67" s="3" t="str">
        <x:v>G-03</x:v>
      </x:c>
      <x:c r="B67" s="3" t="str">
        <x:v>G Ernährung und Ausscheidung</x:v>
      </x:c>
      <x:c r="C67" s="3" t="str">
        <x:v>Trinkprotokoll</x:v>
      </x:c>
      <x:c r="D67" s="3" t="str">
        <x:v>Getränk, Menge, Einheit, Zeitraum, individuell vereinbartes Ziel</x:v>
      </x:c>
      <x:c r="E67" s="3" t="str">
        <x:v>Tagessumme zählt keine Entwürfe oder korrigierten Vorgänger doppelt.</x:v>
      </x:c>
      <x:c r="F67" s="3" t="str">
        <x:v>G-P01</x:v>
      </x:c>
      <x:c r="G67" s="3" t="str">
        <x:v>C-08, D-02</x:v>
      </x:c>
      <x:c r="H67" s="5" t="str">
        <x:v>Teilweise umgesetzt</x:v>
      </x:c>
      <x:c r="I67" s="5" t="str">
        <x:v>Teilprüfung</x:v>
      </x:c>
      <x:c r="J67" s="5" t="str">
        <x:v>Offen</x:v>
      </x:c>
      <x:c r="K67" s="5" t="str">
        <x:v>Offen</x:v>
      </x:c>
      <x:c r="L67" s="5" t="str">
        <x:v>Offen</x:v>
      </x:c>
      <x:c r="M67" s="5" t="str">
        <x:v>CP29: Trinkmengen in explizitem Zeitfenster mit Ausfuhr vergleichbar. Eigene/fremde und gemessene/geschätzte Werte bleiben in vier getrennten Gruppen. 127 neue Fälle, 1293/1293 kumulativ. SQLentwurf nicht ausgeführt; SDK/TSX/Layout-/Pflege-/Rechtsabnahme offen.</x:v>
      </x:c>
      <x:c r="N67" s="3" t="str">
        <x:f>IF(AND(H67="Umgesetzt",I67="Bestanden",OR(J67="Bestanden",J67="Entfällt geprüft"),OR(K67="Bestanden",K67="Entfällt geprüft"),OR(L67="Bestanden",L67="Entfällt geprüft"),M67&lt;&gt;""),"Abgenommen","Offen")</x:f>
        <x:v>Offen</x:v>
      </x:c>
      <x:c r="O67" s="3" t="str">
        <x:v>Individuelle Ziele und vollständige Erfassungsabdeckung ergänzen. Native Persistenz, Zeitgrenzen und Webansichten breit/schmal abnehmen.</x:v>
      </x:c>
    </x:row>
    <x:row r="68" ht="44" customHeight="1">
      <x:c r="A68" s="3" t="str">
        <x:v>G-04</x:v>
      </x:c>
      <x:c r="B68" s="3" t="str">
        <x:v>G Ernährung und Ausscheidung</x:v>
      </x:c>
      <x:c r="C68" s="3" t="str">
        <x:v>Schluckstörung</x:v>
      </x:c>
      <x:c r="D68" s="3" t="str">
        <x:v>Beobachtung, freigegebene Kostform, Hilfen, fachliche Anweisung</x:v>
      </x:c>
      <x:c r="E68" s="3" t="str">
        <x:v>Abweichung vom vereinbarten Vorgehen wird sichtbar eskaliert.</x:v>
      </x:c>
      <x:c r="F68" s="3" t="str">
        <x:v>G-P02</x:v>
      </x:c>
      <x:c r="G68" s="3" t="str">
        <x:v>C-08, D-02</x:v>
      </x:c>
      <x:c r="H68" s="5" t="str">
        <x:v>Bestand zu prüfen</x:v>
      </x:c>
      <x:c r="I68" s="5" t="str">
        <x:v>Offen</x:v>
      </x:c>
      <x:c r="J68" s="5" t="str">
        <x:v>Offen</x:v>
      </x:c>
      <x:c r="K68" s="5" t="str">
        <x:v>Offen</x:v>
      </x:c>
      <x:c r="L68" s="5" t="str">
        <x:v>Offen</x:v>
      </x:c>
      <x:c r="M68" s="5" t="str"/>
      <x:c r="N68" s="3" t="str">
        <x:f>IF(AND(H68="Umgesetzt",I68="Bestanden",OR(J68="Bestanden",J68="Entfällt geprüft"),OR(K68="Bestanden",K68="Entfällt geprüft"),OR(L68="Bestanden",L68="Entfällt geprüft"),M68&lt;&gt;""),"Abgenommen","Offen")</x:f>
        <x:v>Offen</x:v>
      </x:c>
      <x:c r="O68" s="3" t="str">
        <x:v>Bestehenden Ablauf für „Schluckstörung“ prüfen. Fehlende Datenfelder und Einzelfälle ergänzen, anschließend den genannten Abnahmefall nachweisen.</x:v>
      </x:c>
    </x:row>
    <x:row r="69" ht="44" customHeight="1">
      <x:c r="A69" s="3" t="str">
        <x:v>G-05</x:v>
      </x:c>
      <x:c r="B69" s="3" t="str">
        <x:v>G Ernährung und Ausscheidung</x:v>
      </x:c>
      <x:c r="C69" s="3" t="str">
        <x:v>Enterale Ernährung</x:v>
      </x:c>
      <x:c r="D69" s="3" t="str">
        <x:v>Zugang, Produkt, Menge, Laufzeit, Spülung, Verträglichkeit</x:v>
      </x:c>
      <x:c r="E69" s="3" t="str">
        <x:v>Ärztliche Grundlage und tatsächlicher Verlauf sind zugeordnet.</x:v>
      </x:c>
      <x:c r="F69" s="3" t="str">
        <x:v>G-P02</x:v>
      </x:c>
      <x:c r="G69" s="3" t="str">
        <x:v>C-08, D-02</x:v>
      </x:c>
      <x:c r="H69" s="5" t="str">
        <x:v>Bestand zu prüfen</x:v>
      </x:c>
      <x:c r="I69" s="5" t="str">
        <x:v>Offen</x:v>
      </x:c>
      <x:c r="J69" s="5" t="str">
        <x:v>Offen</x:v>
      </x:c>
      <x:c r="K69" s="5" t="str">
        <x:v>Offen</x:v>
      </x:c>
      <x:c r="L69" s="5" t="str">
        <x:v>Offen</x:v>
      </x:c>
      <x:c r="M69" s="5" t="str"/>
      <x:c r="N69" s="3" t="str">
        <x:f>IF(AND(H69="Umgesetzt",I69="Bestanden",OR(J69="Bestanden",J69="Entfällt geprüft"),OR(K69="Bestanden",K69="Entfällt geprüft"),OR(L69="Bestanden",L69="Entfällt geprüft"),M69&lt;&gt;""),"Abgenommen","Offen")</x:f>
        <x:v>Offen</x:v>
      </x:c>
      <x:c r="O69" s="3" t="str">
        <x:v>Bestehenden Ablauf für „Enterale Ernährung“ prüfen. Fehlende Datenfelder und Einzelfälle ergänzen, anschließend den genannten Abnahmefall nachweisen.</x:v>
      </x:c>
    </x:row>
    <x:row r="70" ht="155" customHeight="1">
      <x:c r="A70" s="3" t="str">
        <x:v>G-06</x:v>
      </x:c>
      <x:c r="B70" s="3" t="str">
        <x:v>G Ernährung und Ausscheidung</x:v>
      </x:c>
      <x:c r="C70" s="3" t="str">
        <x:v>Flüssigkeitsbilanz</x:v>
      </x:c>
      <x:c r="D70" s="3" t="str">
        <x:v>Einfuhr, Ausfuhr, Zeitraum, Messart, unvollständige Erfassung</x:v>
      </x:c>
      <x:c r="E70" s="3" t="str">
        <x:v>Unvollständige Bilanz erscheint nicht als klinisch gesicherter Saldo.</x:v>
      </x:c>
      <x:c r="F70" s="3" t="str">
        <x:v>G-P02</x:v>
      </x:c>
      <x:c r="G70" s="3" t="str">
        <x:v>C-08, D-02</x:v>
      </x:c>
      <x:c r="H70" s="5" t="str">
        <x:v>Teilweise umgesetzt</x:v>
      </x:c>
      <x:c r="I70" s="5" t="str">
        <x:v>Teilprüfung</x:v>
      </x:c>
      <x:c r="J70" s="5" t="str">
        <x:v>Offen</x:v>
      </x:c>
      <x:c r="K70" s="5" t="str">
        <x:v>Offen</x:v>
      </x:c>
      <x:c r="L70" s="5" t="str">
        <x:v>Offen</x:v>
      </x:c>
      <x:c r="M70" s="5" t="str">
        <x:v>CP29: Dokumentierter Mengenausschnitt mit exakter Dezimalrechnung, fehlenden Mengen, Sammelgrenzen und Überlappungssperre. Keine vollständige klinische Bilanz. 127 neue Fälle, 1293/1293 kumulativ. SQLentwurf nicht ausgeführt; SDK/TSX/Layout-/Pflege-/Rechtsabnahme offen.</x:v>
      </x:c>
      <x:c r="N70" s="3" t="str">
        <x:f>IF(AND(H70="Umgesetzt",I70="Bestanden",OR(J70="Bestanden",J70="Entfällt geprüft"),OR(K70="Bestanden",K70="Entfällt geprüft"),OR(L70="Bestanden",L70="Entfällt geprüft"),M70&lt;&gt;""),"Abgenommen","Offen")</x:f>
        <x:v>Offen</x:v>
      </x:c>
      <x:c r="O70" s="3" t="str">
        <x:v>Infusionen, enterale Zufuhr und weitere erforderliche Quellen mit Originalbezügen anbinden. Vollständigkeit, Sammelbezüge und fachliche Bilanzfreigabe separat nachweisen.</x:v>
      </x:c>
    </x:row>
    <x:row r="71" ht="155" customHeight="1">
      <x:c r="A71" s="3" t="str">
        <x:v>G-07</x:v>
      </x:c>
      <x:c r="B71" s="3" t="str">
        <x:v>G Ernährung und Ausscheidung</x:v>
      </x:c>
      <x:c r="C71" s="3" t="str">
        <x:v>Kontinenz und Toilettenhilfe</x:v>
      </x:c>
      <x:c r="D71" s="3" t="str">
        <x:v>Ressourcen, Kontinenzprofil, Hilfsmittel, Unterstützung</x:v>
      </x:c>
      <x:c r="E71" s="3" t="str">
        <x:v>Individuelle Maßnahmen sind mit dokumentiertem Bedarf verknüpft.</x:v>
      </x:c>
      <x:c r="F71" s="3" t="str">
        <x:v>G-P03</x:v>
      </x:c>
      <x:c r="G71" s="3" t="str">
        <x:v>C-08, D-02</x:v>
      </x:c>
      <x:c r="H71" s="5" t="str">
        <x:v>Teilweise umgesetzt</x:v>
      </x:c>
      <x:c r="I71" s="5" t="str">
        <x:v>Teilprüfung</x:v>
      </x:c>
      <x:c r="J71" s="5" t="str">
        <x:v>Offen</x:v>
      </x:c>
      <x:c r="K71" s="5" t="str">
        <x:v>Offen</x:v>
      </x:c>
      <x:c r="L71" s="5" t="str">
        <x:v>Offen</x:v>
      </x:c>
      <x:c r="M71" s="5" t="str">
        <x:v>CP30: Individuelles Harn-/Stuhlprofil, Ressourcen, Hilfsmittel, Haut, Teilhabe, Beratung, Personenentscheidung, Abstimmung und individuelle Prüfanlässe ergänzt. Keine automatische Diagnose/Standardskala. 99 neue Fälle, 1392/1392 kumulativ. SQL nicht ausgeführt; native SDK/TSX/Web-/Fach-/Rechtsabnahmen offen.</x:v>
      </x:c>
      <x:c r="N71" s="3" t="str">
        <x:f>IF(AND(H71="Umgesetzt",I71="Bestanden",OR(J71="Bestanden",J71="Entfällt geprüft"),OR(K71="Bestanden",K71="Entfällt geprüft"),OR(L71="Bestanden",L71="Entfällt geprüft"),M71&lt;&gt;""),"Abgenommen","Offen")</x:f>
        <x:v>Offen</x:v>
      </x:c>
      <x:c r="O71" s="3" t="str">
        <x:v>Profil, tatsächliche Protokolle, freigegebene Maßnahmen und Evaluation mit verifizierbaren Originalbezügen verbinden. Kontinenzfach-, Rechts-, SQL/RLS-/SDK- und Webabnahme offen.</x:v>
      </x:c>
    </x:row>
    <x:row r="72" ht="155" customHeight="1">
      <x:c r="A72" s="3" t="str">
        <x:v>G-08</x:v>
      </x:c>
      <x:c r="B72" s="3" t="str">
        <x:v>G Ernährung und Ausscheidung</x:v>
      </x:c>
      <x:c r="C72" s="3" t="str">
        <x:v>Stuhl und Darmprotokoll</x:v>
      </x:c>
      <x:c r="D72" s="3" t="str">
        <x:v>Zeit, Beschaffenheit, Beschwerden, Maßnahme, Wirkung</x:v>
      </x:c>
      <x:c r="E72" s="3" t="str">
        <x:v>Mehrere Ereignisse am Tag bleiben einzelne nachvollziehbare Einträge.</x:v>
      </x:c>
      <x:c r="F72" s="3" t="str">
        <x:v>G-P03</x:v>
      </x:c>
      <x:c r="G72" s="3" t="str">
        <x:v>C-08, D-02</x:v>
      </x:c>
      <x:c r="H72" s="5" t="str">
        <x:v>Teilweise umgesetzt</x:v>
      </x:c>
      <x:c r="I72" s="5" t="str">
        <x:v>Teilprüfung</x:v>
      </x:c>
      <x:c r="J72" s="5" t="str">
        <x:v>Offen</x:v>
      </x:c>
      <x:c r="K72" s="5" t="str">
        <x:v>Offen</x:v>
      </x:c>
      <x:c r="L72" s="5" t="str">
        <x:v>Offen</x:v>
      </x:c>
      <x:c r="M72" s="5" t="str">
        <x:v>CP27: einzelne Stuhlereignisse mit Herkunft, Menge, Konsistenz, Farbe, Beobachtungsgrenze und Reaktion; keine Diagnose/Skala erfunden. Vollständige Originale und Rücknahmen erhalten. 1084/1084 Fälle; Server-/Web-/Fachabnahme offen. CP28: aktueller Protokollkopf als native Kontrollquelle, Originalvereinbarung ausdrücklich übernehmen; getrennte Aufträge bleiben nach Berichtigung zugeordnet, belegter Ergebnisbezug. 82 neue Fälle, 1166/1166 kumulativ. Webnavigation korrigiert; SQL/SDK/Layout-/Fach-/Rechtsabnahme offen.</x:v>
      </x:c>
      <x:c r="N72" s="3" t="str">
        <x:f>IF(AND(H72="Umgesetzt",I72="Bestanden",OR(J72="Bestanden",J72="Entfällt geprüft"),OR(K72="Bestanden",K72="Entfällt geprüft"),OR(L72="Bestanden",L72="Entfällt geprüft"),M72&lt;&gt;""),"Abgenommen","Offen")</x:f>
        <x:v>Offen</x:v>
      </x:c>
      <x:c r="O72" s="3" t="str">
        <x:v>Native Protokoll-/Kontrolladapter in freigegebenem Testbestand gemeinsam prüfen: RLS, aktuelle Rechte, Berichtigung/Rücknahme parallel zu Auftragsanlage, Replay und Rollback. Webnavigation und Originaldetails breit/schmal abnehmen. Pflegefachliche Feld-/Begriffsprüfung und breite/schmale Bedienung abnehmen. Echte Speicherung/Replay/RLS nachweisen; Kontinenz, Hilfen, Katheter und Stoma als eigene Abläufe weiterführen.</x:v>
      </x:c>
    </x:row>
    <x:row r="73" ht="44" customHeight="1">
      <x:c r="A73" s="3" t="str">
        <x:v>G-09</x:v>
      </x:c>
      <x:c r="B73" s="3" t="str">
        <x:v>G Ernährung und Ausscheidung</x:v>
      </x:c>
      <x:c r="C73" s="3" t="str">
        <x:v>Katheterversorgung</x:v>
      </x:c>
      <x:c r="D73" s="3" t="str">
        <x:v>Kathetertyp, Anlage, Wechselgrundlage, Beobachtung, Ausfuhr</x:v>
      </x:c>
      <x:c r="E73" s="3" t="str">
        <x:v>Fälligkeit und problematische Beobachtung erzeugen zuständige Folgeaufgabe.</x:v>
      </x:c>
      <x:c r="F73" s="3" t="str">
        <x:v>G-P03</x:v>
      </x:c>
      <x:c r="G73" s="3" t="str">
        <x:v>C-08, D-02</x:v>
      </x:c>
      <x:c r="H73" s="5" t="str">
        <x:v>Bestand zu prüfen</x:v>
      </x:c>
      <x:c r="I73" s="5" t="str">
        <x:v>Offen</x:v>
      </x:c>
      <x:c r="J73" s="5" t="str">
        <x:v>Offen</x:v>
      </x:c>
      <x:c r="K73" s="5" t="str">
        <x:v>Offen</x:v>
      </x:c>
      <x:c r="L73" s="5" t="str">
        <x:v>Offen</x:v>
      </x:c>
      <x:c r="M73" s="5" t="str"/>
      <x:c r="N73" s="3" t="str">
        <x:f>IF(AND(H73="Umgesetzt",I73="Bestanden",OR(J73="Bestanden",J73="Entfällt geprüft"),OR(K73="Bestanden",K73="Entfällt geprüft"),OR(L73="Bestanden",L73="Entfällt geprüft"),M73&lt;&gt;""),"Abgenommen","Offen")</x:f>
        <x:v>Offen</x:v>
      </x:c>
      <x:c r="O73" s="3" t="str">
        <x:v>Bestehenden Ablauf für „Katheterversorgung“ prüfen. Fehlende Datenfelder und Einzelfälle ergänzen, anschließend den genannten Abnahmefall nachweisen.</x:v>
      </x:c>
    </x:row>
    <x:row r="74" ht="44" customHeight="1">
      <x:c r="A74" s="3" t="str">
        <x:v>G-10</x:v>
      </x:c>
      <x:c r="B74" s="3" t="str">
        <x:v>G Ernährung und Ausscheidung</x:v>
      </x:c>
      <x:c r="C74" s="3" t="str">
        <x:v>Stomaversorgung</x:v>
      </x:c>
      <x:c r="D74" s="3" t="str">
        <x:v>Stomatyp, Versorgungssystem, Haut, Ausscheidung, Komplikation</x:v>
      </x:c>
      <x:c r="E74" s="3" t="str">
        <x:v>Materialwechsel und Hautzustand sind getrennt dokumentiert.</x:v>
      </x:c>
      <x:c r="F74" s="3" t="str">
        <x:v>G-P04</x:v>
      </x:c>
      <x:c r="G74" s="3" t="str">
        <x:v>C-08, D-02</x:v>
      </x:c>
      <x:c r="H74" s="5" t="str">
        <x:v>Bestand zu prüfen</x:v>
      </x:c>
      <x:c r="I74" s="5" t="str">
        <x:v>Offen</x:v>
      </x:c>
      <x:c r="J74" s="5" t="str">
        <x:v>Offen</x:v>
      </x:c>
      <x:c r="K74" s="5" t="str">
        <x:v>Offen</x:v>
      </x:c>
      <x:c r="L74" s="5" t="str">
        <x:v>Offen</x:v>
      </x:c>
      <x:c r="M74" s="5" t="str"/>
      <x:c r="N74" s="3" t="str">
        <x:f>IF(AND(H74="Umgesetzt",I74="Bestanden",OR(J74="Bestanden",J74="Entfällt geprüft"),OR(K74="Bestanden",K74="Entfällt geprüft"),OR(L74="Bestanden",L74="Entfällt geprüft"),M74&lt;&gt;""),"Abgenommen","Offen")</x:f>
        <x:v>Offen</x:v>
      </x:c>
      <x:c r="O74" s="3" t="str">
        <x:v>Bestehenden Ablauf für „Stomaversorgung“ prüfen. Fehlende Datenfelder und Einzelfälle ergänzen, anschließend den genannten Abnahmefall nachweisen.</x:v>
      </x:c>
    </x:row>
    <x:row r="75" ht="44" customHeight="1">
      <x:c r="A75" s="3" t="str">
        <x:v>G-11</x:v>
      </x:c>
      <x:c r="B75" s="3" t="str">
        <x:v>G Ernährung und Ausscheidung</x:v>
      </x:c>
      <x:c r="C75" s="3" t="str">
        <x:v>PEG und Sondenbeobachtung</x:v>
      </x:c>
      <x:c r="D75" s="3" t="str">
        <x:v>Zugang, Haut, Lageprüfung nach freigegebenem Vorgehen, Verträglichkeit</x:v>
      </x:c>
      <x:c r="E75" s="3" t="str">
        <x:v>Ernährung und Zugangskontrolle bleiben eigene dokumentierbare Aufgaben.</x:v>
      </x:c>
      <x:c r="F75" s="3" t="str">
        <x:v>G-P04</x:v>
      </x:c>
      <x:c r="G75" s="3" t="str">
        <x:v>C-08, D-02</x:v>
      </x:c>
      <x:c r="H75" s="5" t="str">
        <x:v>Bestand zu prüfen</x:v>
      </x:c>
      <x:c r="I75" s="5" t="str">
        <x:v>Offen</x:v>
      </x:c>
      <x:c r="J75" s="5" t="str">
        <x:v>Offen</x:v>
      </x:c>
      <x:c r="K75" s="5" t="str">
        <x:v>Offen</x:v>
      </x:c>
      <x:c r="L75" s="5" t="str">
        <x:v>Offen</x:v>
      </x:c>
      <x:c r="M75" s="5" t="str"/>
      <x:c r="N75" s="3" t="str">
        <x:f>IF(AND(H75="Umgesetzt",I75="Bestanden",OR(J75="Bestanden",J75="Entfällt geprüft"),OR(K75="Bestanden",K75="Entfällt geprüft"),OR(L75="Bestanden",L75="Entfällt geprüft"),M75&lt;&gt;""),"Abgenommen","Offen")</x:f>
        <x:v>Offen</x:v>
      </x:c>
      <x:c r="O75" s="3" t="str">
        <x:v>Bestehenden Ablauf für „PEG und Sondenbeobachtung“ prüfen. Fehlende Datenfelder und Einzelfälle ergänzen, anschließend den genannten Abnahmefall nachweisen.</x:v>
      </x:c>
    </x:row>
    <x:row r="76" ht="44" customHeight="1">
      <x:c r="A76" s="3" t="str">
        <x:v>G-12</x:v>
      </x:c>
      <x:c r="B76" s="3" t="str">
        <x:v>G Ernährung und Ausscheidung</x:v>
      </x:c>
      <x:c r="C76" s="3" t="str">
        <x:v>Gewichtsverlust nachhalten</x:v>
      </x:c>
      <x:c r="D76" s="3" t="str">
        <x:v>Messreihe, fachliche Bewertung, vereinbarte Reaktion, Rückkontrolle</x:v>
      </x:c>
      <x:c r="E76" s="3" t="str">
        <x:v>Hinweis führt zu nachverfolgbarer Bewertung statt automatischer Diagnose.</x:v>
      </x:c>
      <x:c r="F76" s="3" t="str">
        <x:v>G-P04</x:v>
      </x:c>
      <x:c r="G76" s="3" t="str">
        <x:v>C-08, D-02</x:v>
      </x:c>
      <x:c r="H76" s="5" t="str">
        <x:v>Bestand zu prüfen</x:v>
      </x:c>
      <x:c r="I76" s="5" t="str">
        <x:v>Offen</x:v>
      </x:c>
      <x:c r="J76" s="5" t="str">
        <x:v>Offen</x:v>
      </x:c>
      <x:c r="K76" s="5" t="str">
        <x:v>Offen</x:v>
      </x:c>
      <x:c r="L76" s="5" t="str">
        <x:v>Offen</x:v>
      </x:c>
      <x:c r="M76" s="5" t="str"/>
      <x:c r="N76" s="3" t="str">
        <x:f>IF(AND(H76="Umgesetzt",I76="Bestanden",OR(J76="Bestanden",J76="Entfällt geprüft"),OR(K76="Bestanden",K76="Entfällt geprüft"),OR(L76="Bestanden",L76="Entfällt geprüft"),M76&lt;&gt;""),"Abgenommen","Offen")</x:f>
        <x:v>Offen</x:v>
      </x:c>
      <x:c r="O76" s="3" t="str">
        <x:v>Bestehenden Ablauf für „Gewichtsverlust nachhalten“ prüfen. Fehlende Datenfelder und Einzelfälle ergänzen, anschließend den genannten Abnahmefall nachweisen.</x:v>
      </x:c>
    </x:row>
    <x:row r="77" ht="44" customHeight="1">
      <x:c r="A77" s="3" t="str">
        <x:v>H-01</x:v>
      </x:c>
      <x:c r="B77" s="3" t="str">
        <x:v>H Medikamente und Verabreichung</x:v>
      </x:c>
      <x:c r="C77" s="3" t="str">
        <x:v>Medikationsabgleich</x:v>
      </x:c>
      <x:c r="D77" s="3" t="str">
        <x:v>Quelle, aktueller Plan, Abweichung, Allergie, Klärung</x:v>
      </x:c>
      <x:c r="E77" s="3" t="str">
        <x:v>Ungeklärte Differenz wird nicht automatisch als gültige Verordnung übernommen.</x:v>
      </x:c>
      <x:c r="F77" s="3" t="str">
        <x:v>H-P01</x:v>
      </x:c>
      <x:c r="G77" s="3" t="str">
        <x:v>B-06, E-01</x:v>
      </x:c>
      <x:c r="H77" s="5" t="str">
        <x:v>Teilweise umgesetzt</x:v>
      </x:c>
      <x:c r="I77" s="5" t="str">
        <x:v>Teilprüfung</x:v>
      </x:c>
      <x:c r="J77" s="5" t="str">
        <x:v>Offen</x:v>
      </x:c>
      <x:c r="K77" s="5" t="str">
        <x:v>Offen</x:v>
      </x:c>
      <x:c r="L77" s="5" t="str">
        <x:v>Offen</x:v>
      </x:c>
      <x:c r="M77" s="5" t="str">
        <x:v>CP111: Lesender Originalvergleich;32 neue Risiken,3016 Tests. Kein dokumentierter Abgleich/Freigabe. Web/SQL/Fachabnahmen offen.</x:v>
      </x:c>
      <x:c r="N77" s="3" t="str">
        <x:f>IF(AND(H77="Umgesetzt",I77="Bestanden",OR(J77="Bestanden",J77="Entfällt geprüft"),OR(K77="Bestanden",K77="Entfällt geprüft"),OR(L77="Bestanden",L77="Entfällt geprüft"),M77&lt;&gt;""),"Abgenommen","Offen")</x:f>
        <x:v>Offen</x:v>
      </x:c>
      <x:c r="O77" s="3" t="str">
        <x:v>Differenzen fachlich klären und dokumentieren; Allergiefassung prüfen. Web/SQL/Fachabnahmen offen.</x:v>
      </x:c>
    </x:row>
    <x:row r="78" ht="95" customHeight="1">
      <x:c r="A78" s="3" t="str">
        <x:v>H-02</x:v>
      </x:c>
      <x:c r="B78" s="3" t="str">
        <x:v>H Medikamente und Verabreichung</x:v>
      </x:c>
      <x:c r="C78" s="3" t="str">
        <x:v>Verordnung erfassen</x:v>
      </x:c>
      <x:c r="D78" s="3" t="str">
        <x:v>Präparat, Wirkstoff, Stärke, Form, Dosis, Weg, Arzt, Gültigkeit</x:v>
      </x:c>
      <x:c r="E78" s="3" t="str">
        <x:v>Unvollständige oder widersprüchliche Verordnung wird vor Freigabe markiert.</x:v>
      </x:c>
      <x:c r="F78" s="3" t="str">
        <x:v>H-P01</x:v>
      </x:c>
      <x:c r="G78" s="3" t="str">
        <x:v>B-06, E-01</x:v>
      </x:c>
      <x:c r="H78" s="5" t="str">
        <x:v>Teilweise umgesetzt</x:v>
      </x:c>
      <x:c r="I78" s="5" t="str">
        <x:v>Teilprüfung</x:v>
      </x:c>
      <x:c r="J78" s="5" t="str">
        <x:v>Offen</x:v>
      </x:c>
      <x:c r="K78" s="5" t="str">
        <x:v>Offen</x:v>
      </x:c>
      <x:c r="L78" s="5" t="str">
        <x:v>Offen</x:v>
      </x:c>
      <x:c r="M78" s="5" t="str">
        <x:v>CP111: Ganze Originalverordnungen/Quellen vergleichen. CP114: Zeitformatter ohne Originaländerung wiederverwendet;3101 Tests. Echte Web/SQL/Fachabnahmen offen.</x:v>
      </x:c>
      <x:c r="N78" s="3" t="str">
        <x:f>IF(AND(H78="Umgesetzt",I78="Bestanden",OR(J78="Bestanden",J78="Entfällt geprüft"),OR(K78="Bestanden",K78="Entfällt geprüft"),OR(L78="Bestanden",L78="Entfällt geprüft"),M78&lt;&gt;""),"Abgenommen","Offen")</x:f>
        <x:v>Offen</x:v>
      </x:c>
      <x:c r="O78" s="3" t="str">
        <x:v>Differenzklärung/Allergiefassung ergänzen; Browserleistung und Web/SQL/Fachabnahmen nachweisen.</x:v>
      </x:c>
    </x:row>
    <x:row r="79" ht="44" customHeight="1">
      <x:c r="A79" s="3" t="str">
        <x:v>H-03</x:v>
      </x:c>
      <x:c r="B79" s="3" t="str">
        <x:v>H Medikamente und Verabreichung</x:v>
      </x:c>
      <x:c r="C79" s="3" t="str">
        <x:v>Gabeplan und Zeitfenster</x:v>
      </x:c>
      <x:c r="D79" s="3" t="str">
        <x:v>Einzeldosis, Zeiten, Häufigkeit, zulässige Abweichung, Version</x:v>
      </x:c>
      <x:c r="E79" s="3" t="str">
        <x:v>Planänderung lässt frühere Gaben auf damaliger Grundlage nachvollziehbar.</x:v>
      </x:c>
      <x:c r="F79" s="3" t="str">
        <x:v>H-P01</x:v>
      </x:c>
      <x:c r="G79" s="3" t="str">
        <x:v>H-01, H-02; B-06, E-01</x:v>
      </x:c>
      <x:c r="H79" s="5" t="str">
        <x:v>Teilweise umgesetzt</x:v>
      </x:c>
      <x:c r="I79" s="5" t="str">
        <x:v>Teilprüfung</x:v>
      </x:c>
      <x:c r="J79" s="5" t="str">
        <x:v>Offen</x:v>
      </x:c>
      <x:c r="K79" s="5" t="str">
        <x:v>Offen</x:v>
      </x:c>
      <x:c r="L79" s="5" t="str">
        <x:v>Offen</x:v>
      </x:c>
      <x:c r="M79" s="5" t="str">
        <x:v>CP112: Historische Planbelege;CP114: Zeitformatter wiederverwendet, Originale gleich;3101 Tests. Abnahmen offen.</x:v>
      </x:c>
      <x:c r="N79" s="3" t="str">
        <x:f>IF(AND(H79="Umgesetzt",I79="Bestanden",OR(J79="Bestanden",J79="Entfällt geprüft"),OR(K79="Bestanden",K79="Entfällt geprüft"),OR(L79="Bestanden",L79="Entfällt geprüft"),M79&lt;&gt;""),"Abgenommen","Offen")</x:f>
        <x:v>Offen</x:v>
      </x:c>
      <x:c r="O79" s="3" t="str">
        <x:v>Zeitfenster/Bedarfsregeln fachlich klären; Browserleistung und Web/SQL/Fachabnahmen nachweisen.</x:v>
      </x:c>
    </x:row>
    <x:row r="80" ht="95" customHeight="1">
      <x:c r="A80" s="3" t="str">
        <x:v>H-04</x:v>
      </x:c>
      <x:c r="B80" s="3" t="str">
        <x:v>H Medikamente und Verabreichung</x:v>
      </x:c>
      <x:c r="C80" s="3" t="str">
        <x:v>Tatsächliche Gabe</x:v>
      </x:c>
      <x:c r="D80" s="3" t="str">
        <x:v>Ereigniszeit, Dosis, Applikation, ausführende Person, Verordnungsstand</x:v>
      </x:c>
      <x:c r="E80" s="3" t="str">
        <x:v>Keine automatische Übernahme geplanter Dosis als bestätigte tatsächliche Gabe.</x:v>
      </x:c>
      <x:c r="F80" s="3" t="str">
        <x:v>H-P02</x:v>
      </x:c>
      <x:c r="G80" s="3" t="str">
        <x:v>H-01, H-02; B-06, E-01</x:v>
      </x:c>
      <x:c r="H80" s="5" t="str">
        <x:v>Teilweise umgesetzt</x:v>
      </x:c>
      <x:c r="I80" s="5" t="str">
        <x:v>Teilprüfung</x:v>
      </x:c>
      <x:c r="J80" s="5" t="str">
        <x:v>Offen</x:v>
      </x:c>
      <x:c r="K80" s="5" t="str">
        <x:v>Offen</x:v>
      </x:c>
      <x:c r="L80" s="5" t="str">
        <x:v>Offen</x:v>
      </x:c>
      <x:c r="M80" s="5" t="str">
        <x:v>CP108: Originalzeiten mit Sekunden/µs/Zone; ungültige Zeiten bestätigen keine Gabe/Kontrollöffnung.34 neue Risiken,13 tatsächliche Handlerchecks;2876 Gesamttests bestanden. Originalretry erhalten. Web/SQL/Fachabnahmen offen.</x:v>
      </x:c>
      <x:c r="N80" s="3" t="str">
        <x:f>IF(AND(H80="Umgesetzt",I80="Bestanden",OR(J80="Bestanden",J80="Entfällt geprüft"),OR(K80="Bestanden",K80="Entfällt geprüft"),OR(L80="Bestanden",L80="Entfällt geprüft"),M80&lt;&gt;""),"Abgenommen","Offen")</x:f>
        <x:v>Offen</x:v>
      </x:c>
      <x:c r="O80" s="3" t="str">
        <x:v>Quellenversionen und native Rawlisten ohne Status-/Zeit-/Flagersatz prüfen. Unklare Anlage ohne Kennung, Gegenkontrollqualifikation/Zweitsignatur und echte Web/Layout-/SQL/RLS-/Fachabnahmen offen.</x:v>
      </x:c>
    </x:row>
    <x:row r="81" ht="95" customHeight="1">
      <x:c r="A81" s="3" t="str">
        <x:v>H-05</x:v>
      </x:c>
      <x:c r="B81" s="3" t="str">
        <x:v>H Medikamente und Verabreichung</x:v>
      </x:c>
      <x:c r="C81" s="3" t="str">
        <x:v>Verspätete Gabe</x:v>
      </x:c>
      <x:c r="D81" s="3" t="str">
        <x:v>Tatsächliche Zeit, Dosis, Weg, Abweichungsgrund, Kontrollen</x:v>
      </x:c>
      <x:c r="E81" s="3" t="str">
        <x:v>Bedarfs- und Gegenkontrollregeln gelten auch für verspätete Gaben.</x:v>
      </x:c>
      <x:c r="F81" s="3" t="str">
        <x:v>H-P02</x:v>
      </x:c>
      <x:c r="G81" s="3" t="str">
        <x:v>H-01, H-02; B-06, E-01</x:v>
      </x:c>
      <x:c r="H81" s="5" t="str">
        <x:v>Teilweise umgesetzt</x:v>
      </x:c>
      <x:c r="I81" s="5" t="str">
        <x:v>Teilprüfung</x:v>
      </x:c>
      <x:c r="J81" s="5" t="str">
        <x:v>Offen</x:v>
      </x:c>
      <x:c r="K81" s="5" t="str">
        <x:v>Offen</x:v>
      </x:c>
      <x:c r="L81" s="5" t="str">
        <x:v>Offen</x:v>
      </x:c>
      <x:c r="M81" s="5" t="str">
        <x:v>CP108: Originalzeiten mit Sekunden/µs/Zone; ungültige Zeiten bestätigen keine Gabe/Kontrollöffnung.34 neue Risiken,13 tatsächliche Handlerchecks;2876 Gesamttests bestanden. Originalretry erhalten. Web/SQL/Fachabnahmen offen.</x:v>
      </x:c>
      <x:c r="N81" s="3" t="str">
        <x:f>IF(AND(H81="Umgesetzt",I81="Bestanden",OR(J81="Bestanden",J81="Entfällt geprüft"),OR(K81="Bestanden",K81="Entfällt geprüft"),OR(L81="Bestanden",L81="Entfällt geprüft"),M81&lt;&gt;""),"Abgenommen","Offen")</x:f>
        <x:v>Offen</x:v>
      </x:c>
      <x:c r="O81" s="3" t="str">
        <x:v>Quellenversionen und native Rawlisten ohne Status-/Zeit-/Flagersatz prüfen. Unklare Anlage ohne Kennung, Gegenkontrollqualifikation/Zweitsignatur und echte Web/Layout-/SQL/RLS-/Fachabnahmen offen.</x:v>
      </x:c>
    </x:row>
    <x:row r="82" ht="95" customHeight="1">
      <x:c r="A82" s="3" t="str">
        <x:v>H-06</x:v>
      </x:c>
      <x:c r="B82" s="3" t="str">
        <x:v>H Medikamente und Verabreichung</x:v>
      </x:c>
      <x:c r="C82" s="3" t="str">
        <x:v>Nichtgabe und Ablehnung</x:v>
      </x:c>
      <x:c r="D82" s="3" t="str">
        <x:v>Ergebnis, Ereigniszeit, Grund, Konsequenz, Weitergabe</x:v>
      </x:c>
      <x:c r="E82" s="3" t="str">
        <x:v>Keine tatsächliche Dosis oder tatsächlicher Gabezeitpunkt bei Nichtgabe.</x:v>
      </x:c>
      <x:c r="F82" s="3" t="str">
        <x:v>H-P02</x:v>
      </x:c>
      <x:c r="G82" s="3" t="str">
        <x:v>H-01, H-02; B-06, E-01</x:v>
      </x:c>
      <x:c r="H82" s="5" t="str">
        <x:v>Teilweise umgesetzt</x:v>
      </x:c>
      <x:c r="I82" s="5" t="str">
        <x:v>Teilprüfung</x:v>
      </x:c>
      <x:c r="J82" s="5" t="str">
        <x:v>Offen</x:v>
      </x:c>
      <x:c r="K82" s="5" t="str">
        <x:v>Offen</x:v>
      </x:c>
      <x:c r="L82" s="5" t="str">
        <x:v>Offen</x:v>
      </x:c>
      <x:c r="M82" s="5" t="str">
        <x:v>CP108: Originalzeiten mit Sekunden/µs/Zone; ungültige Zeiten bestätigen keine Gabe/Kontrollöffnung.34 neue Risiken,13 tatsächliche Handlerchecks;2876 Gesamttests bestanden. Originalretry erhalten. Web/SQL/Fachabnahmen offen.</x:v>
      </x:c>
      <x:c r="N82" s="3" t="str">
        <x:f>IF(AND(H82="Umgesetzt",I82="Bestanden",OR(J82="Bestanden",J82="Entfällt geprüft"),OR(K82="Bestanden",K82="Entfällt geprüft"),OR(L82="Bestanden",L82="Entfällt geprüft"),M82&lt;&gt;""),"Abgenommen","Offen")</x:f>
        <x:v>Offen</x:v>
      </x:c>
      <x:c r="O82" s="3" t="str">
        <x:v>Quellenversionen und native Rawlisten ohne Status-/Zeit-/Flagersatz prüfen. Unklare Anlage ohne Kennung, Gegenkontrollqualifikation/Zweitsignatur und echte Web/Layout-/SQL/RLS-/Fachabnahmen offen.</x:v>
      </x:c>
    </x:row>
    <x:row r="83" ht="44" customHeight="1">
      <x:c r="A83" s="3" t="str">
        <x:v>H-07</x:v>
      </x:c>
      <x:c r="B83" s="3" t="str">
        <x:v>H Medikamente und Verabreichung</x:v>
      </x:c>
      <x:c r="C83" s="3" t="str">
        <x:v>Bedarfsmedikation</x:v>
      </x:c>
      <x:c r="D83" s="3" t="str">
        <x:v>Indikation, ärztliche Bedingungen, Mindestabstand, Höchstmengen</x:v>
      </x:c>
      <x:c r="E83" s="3" t="str">
        <x:v>Vor erneuter Gabe werden passende vorherige Gaben und gültige Grenzen geprüft.</x:v>
      </x:c>
      <x:c r="F83" s="3" t="str">
        <x:v>H-P03</x:v>
      </x:c>
      <x:c r="G83" s="3" t="str">
        <x:v>H-01, H-02; B-06, E-01</x:v>
      </x:c>
      <x:c r="H83" s="5" t="str">
        <x:v>Bestand zu prüfen</x:v>
      </x:c>
      <x:c r="I83" s="5" t="str">
        <x:v>Offen</x:v>
      </x:c>
      <x:c r="J83" s="5" t="str">
        <x:v>Offen</x:v>
      </x:c>
      <x:c r="K83" s="5" t="str">
        <x:v>Offen</x:v>
      </x:c>
      <x:c r="L83" s="5" t="str">
        <x:v>Offen</x:v>
      </x:c>
      <x:c r="M83" s="5" t="str"/>
      <x:c r="N83" s="3" t="str">
        <x:f>IF(AND(H83="Umgesetzt",I83="Bestanden",OR(J83="Bestanden",J83="Entfällt geprüft"),OR(K83="Bestanden",K83="Entfällt geprüft"),OR(L83="Bestanden",L83="Entfällt geprüft"),M83&lt;&gt;""),"Abgenommen","Offen")</x:f>
        <x:v>Offen</x:v>
      </x:c>
      <x:c r="O83" s="3" t="str">
        <x:v>Bestehenden Ablauf für „Bedarfsmedikation“ prüfen. Fehlende Datenfelder und Einzelfälle ergänzen, anschließend den genannten Abnahmefall nachweisen.</x:v>
      </x:c>
    </x:row>
    <x:row r="84" ht="95" customHeight="1">
      <x:c r="A84" s="3" t="str">
        <x:v>H-08</x:v>
      </x:c>
      <x:c r="B84" s="3" t="str">
        <x:v>H Medikamente und Verabreichung</x:v>
      </x:c>
      <x:c r="C84" s="3" t="str">
        <x:v>Wirksamkeitskontrolle</x:v>
      </x:c>
      <x:c r="D84" s="3" t="str">
        <x:v>Gabezuordnung, Kontrollzeit, Beobachtung, Maßnahme, Schmerzskala</x:v>
      </x:c>
      <x:c r="E84" s="3" t="str">
        <x:v>Kontrolle ergänzt die Gabe ohne den ursprünglichen Eintrag zu verändern.</x:v>
      </x:c>
      <x:c r="F84" s="3" t="str">
        <x:v>H-P03</x:v>
      </x:c>
      <x:c r="G84" s="3" t="str">
        <x:v>H-01, H-02; B-06, E-01</x:v>
      </x:c>
      <x:c r="H84" s="5" t="str">
        <x:v>Teilweise umgesetzt</x:v>
      </x:c>
      <x:c r="I84" s="5" t="str">
        <x:v>Teilprüfung</x:v>
      </x:c>
      <x:c r="J84" s="5" t="str">
        <x:v>Offen</x:v>
      </x:c>
      <x:c r="K84" s="5" t="str">
        <x:v>Offen</x:v>
      </x:c>
      <x:c r="L84" s="5" t="str">
        <x:v>Offen</x:v>
      </x:c>
      <x:c r="M84" s="5" t="str">
        <x:v>CP108: Originalzeiten mit Sekunden/µs/Zone; ungültige Zeiten bestätigen keine Gabe/Kontrollöffnung.34 neue Risiken,13 tatsächliche Handlerchecks;2876 Gesamttests bestanden. Originalretry erhalten. Web/SQL/Fachabnahmen offen.</x:v>
      </x:c>
      <x:c r="N84" s="3" t="str">
        <x:f>IF(AND(H84="Umgesetzt",I84="Bestanden",OR(J84="Bestanden",J84="Entfällt geprüft"),OR(K84="Bestanden",K84="Entfällt geprüft"),OR(L84="Bestanden",L84="Entfällt geprüft"),M84&lt;&gt;""),"Abgenommen","Offen")</x:f>
        <x:v>Offen</x:v>
      </x:c>
      <x:c r="O84" s="3" t="str">
        <x:v>Quellenversionen und native Rawlisten ohne Status-/Zeit-/Flagersatz prüfen. Unklare Anlage ohne Kennung, Gegenkontrollqualifikation/Zweitsignatur und echte Web/Layout-/SQL/RLS-/Fachabnahmen offen.</x:v>
      </x:c>
    </x:row>
    <x:row r="85" ht="44" customHeight="1">
      <x:c r="A85" s="3" t="str">
        <x:v>H-09</x:v>
      </x:c>
      <x:c r="B85" s="3" t="str">
        <x:v>H Medikamente und Verabreichung</x:v>
      </x:c>
      <x:c r="C85" s="3" t="str">
        <x:v>Nebenwirkung und Medikationsfehler</x:v>
      </x:c>
      <x:c r="D85" s="3" t="str">
        <x:v>Beobachtung, vermuteter Bezug, Reaktion, Arztkontakt, Verlauf</x:v>
      </x:c>
      <x:c r="E85" s="3" t="str">
        <x:v>Verdachtsmeldung ist keine automatische gesicherte Diagnose.</x:v>
      </x:c>
      <x:c r="F85" s="3" t="str">
        <x:v>H-P03</x:v>
      </x:c>
      <x:c r="G85" s="3" t="str">
        <x:v>H-01, H-02; B-06, E-01</x:v>
      </x:c>
      <x:c r="H85" s="5" t="str">
        <x:v>Bestand zu prüfen</x:v>
      </x:c>
      <x:c r="I85" s="5" t="str">
        <x:v>Offen</x:v>
      </x:c>
      <x:c r="J85" s="5" t="str">
        <x:v>Offen</x:v>
      </x:c>
      <x:c r="K85" s="5" t="str">
        <x:v>Offen</x:v>
      </x:c>
      <x:c r="L85" s="5" t="str">
        <x:v>Offen</x:v>
      </x:c>
      <x:c r="M85" s="5" t="str"/>
      <x:c r="N85" s="3" t="str">
        <x:f>IF(AND(H85="Umgesetzt",I85="Bestanden",OR(J85="Bestanden",J85="Entfällt geprüft"),OR(K85="Bestanden",K85="Entfällt geprüft"),OR(L85="Bestanden",L85="Entfällt geprüft"),M85&lt;&gt;""),"Abgenommen","Offen")</x:f>
        <x:v>Offen</x:v>
      </x:c>
      <x:c r="O85" s="3" t="str">
        <x:v>Bestehenden Ablauf für „Nebenwirkung und Medikationsfehler“ prüfen. Fehlende Datenfelder und Einzelfälle ergänzen, anschließend den genannten Abnahmefall nachweisen.</x:v>
      </x:c>
    </x:row>
    <x:row r="86" ht="44" customHeight="1">
      <x:c r="A86" s="3" t="str">
        <x:v>H-10</x:v>
      </x:c>
      <x:c r="B86" s="3" t="str">
        <x:v>H Medikamente und Verabreichung</x:v>
      </x:c>
      <x:c r="C86" s="3" t="str">
        <x:v>Gegenkontrolle und BtM</x:v>
      </x:c>
      <x:c r="D86" s="3" t="str">
        <x:v>Kontrollbedarf, zweite berechtigte Person, Bestätigung, Bestand</x:v>
      </x:c>
      <x:c r="E86" s="3" t="str">
        <x:v>Namentliche Auswahl wird nicht als authentifizierte zweite Unterschrift ausgegeben.</x:v>
      </x:c>
      <x:c r="F86" s="3" t="str">
        <x:v>H-P04</x:v>
      </x:c>
      <x:c r="G86" s="3" t="str">
        <x:v>H-01, H-02; B-06, E-01</x:v>
      </x:c>
      <x:c r="H86" s="5" t="str">
        <x:v>Teilweise umgesetzt</x:v>
      </x:c>
      <x:c r="I86" s="5" t="str">
        <x:v>Teilprüfung</x:v>
      </x:c>
      <x:c r="J86" s="5" t="str">
        <x:v>Offen</x:v>
      </x:c>
      <x:c r="K86" s="5" t="str">
        <x:v>Offen</x:v>
      </x:c>
      <x:c r="L86" s="5" t="str">
        <x:v>Offen</x:v>
      </x:c>
      <x:c r="M86" s="5" t="str">
        <x:v>CP105: Native Personenwahl geprüft;37 neue Risiken,2809 Tests. Keine authentifizierte Zweitsignatur. Qualifikation/BtM/SQL/Fachabnahmen offen.</x:v>
      </x:c>
      <x:c r="N86" s="3" t="str">
        <x:f>IF(AND(H86="Umgesetzt",I86="Bestanden",OR(J86="Bestanden",J86="Entfällt geprüft"),OR(K86="Bestanden",K86="Entfällt geprüft"),OR(L86="Bestanden",L86="Entfällt geprüft"),M86&lt;&gt;""),"Abgenommen","Offen")</x:f>
        <x:v>Offen</x:v>
      </x:c>
      <x:c r="O86" s="3" t="str">
        <x:v>Tatsächliche Berechtigung/Qualifikation, unabhängig authentifizierte zweite Unterschrift und BtM-Bestandsnachweis umsetzen und prüfen; Web/Layout,SQL/RLS,Pflege/Design/Recht offen.</x:v>
      </x:c>
    </x:row>
    <x:row r="87" ht="44" customHeight="1">
      <x:c r="A87" s="3" t="str">
        <x:v>H-11</x:v>
      </x:c>
      <x:c r="B87" s="3" t="str">
        <x:v>H Medikamente und Verabreichung</x:v>
      </x:c>
      <x:c r="C87" s="3" t="str">
        <x:v>Richten und Bestände</x:v>
      </x:c>
      <x:c r="D87" s="3" t="str">
        <x:v>Richtplan, Packung, Charge, Haltbarkeit, Eingang, Verbrauch</x:v>
      </x:c>
      <x:c r="E87" s="3" t="str">
        <x:v>Richten und tatsächliche Verabreichung werden nicht gleichgesetzt.</x:v>
      </x:c>
      <x:c r="F87" s="3" t="str">
        <x:v>H-P04</x:v>
      </x:c>
      <x:c r="G87" s="3" t="str">
        <x:v>H-01, H-02; B-06, E-01</x:v>
      </x:c>
      <x:c r="H87" s="5" t="str">
        <x:v>Bestand zu prüfen</x:v>
      </x:c>
      <x:c r="I87" s="5" t="str">
        <x:v>Offen</x:v>
      </x:c>
      <x:c r="J87" s="5" t="str">
        <x:v>Offen</x:v>
      </x:c>
      <x:c r="K87" s="5" t="str">
        <x:v>Offen</x:v>
      </x:c>
      <x:c r="L87" s="5" t="str">
        <x:v>Offen</x:v>
      </x:c>
      <x:c r="M87" s="5" t="str"/>
      <x:c r="N87" s="3" t="str">
        <x:f>IF(AND(H87="Umgesetzt",I87="Bestanden",OR(J87="Bestanden",J87="Entfällt geprüft"),OR(K87="Bestanden",K87="Entfällt geprüft"),OR(L87="Bestanden",L87="Entfällt geprüft"),M87&lt;&gt;""),"Abgenommen","Offen")</x:f>
        <x:v>Offen</x:v>
      </x:c>
      <x:c r="O87" s="3" t="str">
        <x:v>Bestehenden Ablauf für „Richten und Bestände“ prüfen. Fehlende Datenfelder und Einzelfälle ergänzen, anschließend den genannten Abnahmefall nachweisen.</x:v>
      </x:c>
    </x:row>
    <x:row r="88" ht="95" customHeight="1">
      <x:c r="A88" s="3" t="str">
        <x:v>H-12</x:v>
      </x:c>
      <x:c r="B88" s="3" t="str">
        <x:v>H Medikamente und Verabreichung</x:v>
      </x:c>
      <x:c r="C88" s="3" t="str">
        <x:v>Verordnung pausieren oder beenden</x:v>
      </x:c>
      <x:c r="D88" s="3" t="str">
        <x:v>Grund, Zeit, Berechtigung, Version, Folgeplan</x:v>
      </x:c>
      <x:c r="E88" s="3" t="str">
        <x:v>Beendete Verordnung kann nicht unbemerkt wieder aktiviert werden.</x:v>
      </x:c>
      <x:c r="F88" s="3" t="str">
        <x:v>H-P04</x:v>
      </x:c>
      <x:c r="G88" s="3" t="str">
        <x:v>H-01, H-02; B-06, E-01</x:v>
      </x:c>
      <x:c r="H88" s="5" t="str">
        <x:v>Teilweise umgesetzt</x:v>
      </x:c>
      <x:c r="I88" s="5" t="str">
        <x:v>Offen</x:v>
      </x:c>
      <x:c r="J88" s="5" t="str">
        <x:v>Offen</x:v>
      </x:c>
      <x:c r="K88" s="5" t="str">
        <x:v>Offen</x:v>
      </x:c>
      <x:c r="L88" s="5" t="str">
        <x:v>Offen</x:v>
      </x:c>
      <x:c r="M88" s="5" t="str">
        <x:v>CP108: Originalzeiten mit Sekunden/µs/Zone; ungültige Zeiten bestätigen keine Gabe/Kontrollöffnung.34 neue Risiken,13 tatsächliche Handlerchecks;2876 Gesamttests bestanden. Originalretry erhalten. Web/SQL/Fachabnahmen offen.</x:v>
      </x:c>
      <x:c r="N88" s="3" t="str">
        <x:f>IF(AND(H88="Umgesetzt",I88="Bestanden",OR(J88="Bestanden",J88="Entfällt geprüft"),OR(K88="Bestanden",K88="Entfällt geprüft"),OR(L88="Bestanden",L88="Entfällt geprüft"),M88&lt;&gt;""),"Abgenommen","Offen")</x:f>
        <x:v>Offen</x:v>
      </x:c>
      <x:c r="O88" s="3" t="str">
        <x:v>Quellenversionen und native Rawlisten ohne Status-/Zeit-/Flagersatz prüfen. Unklare Anlage ohne Kennung, Gegenkontrollqualifikation/Zweitsignatur und echte Web/Layout-/SQL/RLS-/Fachabnahmen offen.</x:v>
      </x:c>
    </x:row>
    <x:row r="89" ht="44" customHeight="1">
      <x:c r="A89" s="3" t="str">
        <x:v>H-13</x:v>
      </x:c>
      <x:c r="B89" s="3" t="str">
        <x:v>H Medikamente und Verabreichung</x:v>
      </x:c>
      <x:c r="C89" s="3" t="str">
        <x:v>Bedarfsabstände prüfen</x:v>
      </x:c>
      <x:c r="D89" s="3" t="str">
        <x:v>Vorherige bestätigte Gaben, Wirkstoffbezug, aktueller Mindestabstand</x:v>
      </x:c>
      <x:c r="E89" s="3" t="str">
        <x:v>Verspätete Gaben zählen bei der Abstandsprüfung als tatsächliche Gaben.</x:v>
      </x:c>
      <x:c r="F89" s="3" t="str">
        <x:v>H-P05</x:v>
      </x:c>
      <x:c r="G89" s="3" t="str">
        <x:v>H-01, H-02; B-06, E-01</x:v>
      </x:c>
      <x:c r="H89" s="5" t="str">
        <x:v>Bestand zu prüfen</x:v>
      </x:c>
      <x:c r="I89" s="5" t="str">
        <x:v>Offen</x:v>
      </x:c>
      <x:c r="J89" s="5" t="str">
        <x:v>Offen</x:v>
      </x:c>
      <x:c r="K89" s="5" t="str">
        <x:v>Offen</x:v>
      </x:c>
      <x:c r="L89" s="5" t="str">
        <x:v>Offen</x:v>
      </x:c>
      <x:c r="M89" s="5" t="str"/>
      <x:c r="N89" s="3" t="str">
        <x:f>IF(AND(H89="Umgesetzt",I89="Bestanden",OR(J89="Bestanden",J89="Entfällt geprüft"),OR(K89="Bestanden",K89="Entfällt geprüft"),OR(L89="Bestanden",L89="Entfällt geprüft"),M89&lt;&gt;""),"Abgenommen","Offen")</x:f>
        <x:v>Offen</x:v>
      </x:c>
      <x:c r="O89" s="3" t="str">
        <x:v>Bestehenden Ablauf für „Bedarfsabstände prüfen“ prüfen. Fehlende Datenfelder und Einzelfälle ergänzen, anschließend den genannten Abnahmefall nachweisen.</x:v>
      </x:c>
    </x:row>
    <x:row r="90" ht="44" customHeight="1">
      <x:c r="A90" s="3" t="str">
        <x:v>H-14</x:v>
      </x:c>
      <x:c r="B90" s="3" t="str">
        <x:v>H Medikamente und Verabreichung</x:v>
      </x:c>
      <x:c r="C90" s="3" t="str">
        <x:v>Höchstmengen prüfen</x:v>
      </x:c>
      <x:c r="D90" s="3" t="str">
        <x:v>Ärztlich festgelegte Grenze, Bezugszeitraum, Einheiten, aktuelle Gaben</x:v>
      </x:c>
      <x:c r="E90" s="3" t="str">
        <x:v>Unterschiedliche Einheiten und fehlende Grenzen verhindern eine ungesicherte Freigabe.</x:v>
      </x:c>
      <x:c r="F90" s="3" t="str">
        <x:v>H-P05</x:v>
      </x:c>
      <x:c r="G90" s="3" t="str">
        <x:v>H-01, H-02; B-06, E-01</x:v>
      </x:c>
      <x:c r="H90" s="5" t="str">
        <x:v>Bestand zu prüfen</x:v>
      </x:c>
      <x:c r="I90" s="5" t="str">
        <x:v>Offen</x:v>
      </x:c>
      <x:c r="J90" s="5" t="str">
        <x:v>Offen</x:v>
      </x:c>
      <x:c r="K90" s="5" t="str">
        <x:v>Offen</x:v>
      </x:c>
      <x:c r="L90" s="5" t="str">
        <x:v>Offen</x:v>
      </x:c>
      <x:c r="M90" s="5" t="str"/>
      <x:c r="N90" s="3" t="str">
        <x:f>IF(AND(H90="Umgesetzt",I90="Bestanden",OR(J90="Bestanden",J90="Entfällt geprüft"),OR(K90="Bestanden",K90="Entfällt geprüft"),OR(L90="Bestanden",L90="Entfällt geprüft"),M90&lt;&gt;""),"Abgenommen","Offen")</x:f>
        <x:v>Offen</x:v>
      </x:c>
      <x:c r="O90" s="3" t="str">
        <x:v>Bestehenden Ablauf für „Höchstmengen prüfen“ prüfen. Fehlende Datenfelder und Einzelfälle ergänzen, anschließend den genannten Abnahmefall nachweisen.</x:v>
      </x:c>
    </x:row>
    <x:row r="91" ht="44" customHeight="1">
      <x:c r="A91" s="3" t="str">
        <x:v>H-15</x:v>
      </x:c>
      <x:c r="B91" s="3" t="str">
        <x:v>H Medikamente und Verabreichung</x:v>
      </x:c>
      <x:c r="C91" s="3" t="str">
        <x:v>BtM-Bestandsbuch</x:v>
      </x:c>
      <x:c r="D91" s="3" t="str">
        <x:v>Zugang, Abgang, Rest, Korrekturgrund, verantwortliche Person</x:v>
      </x:c>
      <x:c r="E91" s="3" t="str">
        <x:v>Einzelbuchungen ergeben nachvollziehbaren Bestand ohne unerkannte negative Menge.</x:v>
      </x:c>
      <x:c r="F91" s="3" t="str">
        <x:v>H-P05</x:v>
      </x:c>
      <x:c r="G91" s="3" t="str">
        <x:v>H-01, H-02; B-06, E-01</x:v>
      </x:c>
      <x:c r="H91" s="5" t="str">
        <x:v>Bestand zu prüfen</x:v>
      </x:c>
      <x:c r="I91" s="5" t="str">
        <x:v>Offen</x:v>
      </x:c>
      <x:c r="J91" s="5" t="str">
        <x:v>Offen</x:v>
      </x:c>
      <x:c r="K91" s="5" t="str">
        <x:v>Offen</x:v>
      </x:c>
      <x:c r="L91" s="5" t="str">
        <x:v>Offen</x:v>
      </x:c>
      <x:c r="M91" s="5" t="str"/>
      <x:c r="N91" s="3" t="str">
        <x:f>IF(AND(H91="Umgesetzt",I91="Bestanden",OR(J91="Bestanden",J91="Entfällt geprüft"),OR(K91="Bestanden",K91="Entfällt geprüft"),OR(L91="Bestanden",L91="Entfällt geprüft"),M91&lt;&gt;""),"Abgenommen","Offen")</x:f>
        <x:v>Offen</x:v>
      </x:c>
      <x:c r="O91" s="3" t="str">
        <x:v>Bestehenden Ablauf für „BtM-Bestandsbuch“ prüfen. Fehlende Datenfelder und Einzelfälle ergänzen, anschließend den genannten Abnahmefall nachweisen.</x:v>
      </x:c>
    </x:row>
    <x:row r="92" ht="44" customHeight="1">
      <x:c r="A92" s="3" t="str">
        <x:v>H-16</x:v>
      </x:c>
      <x:c r="B92" s="3" t="str">
        <x:v>H Medikamente und Verabreichung</x:v>
      </x:c>
      <x:c r="C92" s="3" t="str">
        <x:v>Medikamentenkorrektur</x:v>
      </x:c>
      <x:c r="D92" s="3" t="str">
        <x:v>Originalereignis, begründeter Nachtrag, Verordnungsbezug, Freigabe</x:v>
      </x:c>
      <x:c r="E92" s="3" t="str">
        <x:v>Korrektur löscht oder verändert keine bereits bestätigte historische Gabe.</x:v>
      </x:c>
      <x:c r="F92" s="3" t="str">
        <x:v>H-P06</x:v>
      </x:c>
      <x:c r="G92" s="3" t="str">
        <x:v>H-01, H-02; B-06, E-01</x:v>
      </x:c>
      <x:c r="H92" s="5" t="str">
        <x:v>Bestand zu prüfen</x:v>
      </x:c>
      <x:c r="I92" s="5" t="str">
        <x:v>Offen</x:v>
      </x:c>
      <x:c r="J92" s="5" t="str">
        <x:v>Offen</x:v>
      </x:c>
      <x:c r="K92" s="5" t="str">
        <x:v>Offen</x:v>
      </x:c>
      <x:c r="L92" s="5" t="str">
        <x:v>Offen</x:v>
      </x:c>
      <x:c r="M92" s="5" t="str"/>
      <x:c r="N92" s="3" t="str">
        <x:f>IF(AND(H92="Umgesetzt",I92="Bestanden",OR(J92="Bestanden",J92="Entfällt geprüft"),OR(K92="Bestanden",K92="Entfällt geprüft"),OR(L92="Bestanden",L92="Entfällt geprüft"),M92&lt;&gt;""),"Abgenommen","Offen")</x:f>
        <x:v>Offen</x:v>
      </x:c>
      <x:c r="O92" s="3" t="str">
        <x:v>Bestehenden Ablauf für „Medikamentenkorrektur“ prüfen. Fehlende Datenfelder und Einzelfälle ergänzen, anschließend den genannten Abnahmefall nachweisen.</x:v>
      </x:c>
    </x:row>
    <x:row r="93" ht="155" customHeight="1">
      <x:c r="A93" s="3" t="str">
        <x:v>I-01</x:v>
      </x:c>
      <x:c r="B93" s="3" t="str">
        <x:v>I Behandlungspflege</x:v>
      </x:c>
      <x:c r="C93" s="3" t="str">
        <x:v>HKP-Verordnung verwalten</x:v>
      </x:c>
      <x:c r="D93" s="3" t="str">
        <x:v>Maßnahme, Arzt, Frequenz, Dauer, Genehmigung, Version</x:v>
      </x:c>
      <x:c r="E93" s="3" t="str">
        <x:v>Ausführung ohne gültige Grundlage wird erkannt und zur Klärung geführt.</x:v>
      </x:c>
      <x:c r="F93" s="3" t="str">
        <x:v>I-P01</x:v>
      </x:c>
      <x:c r="G93" s="3" t="str">
        <x:v>B-06, E-01</x:v>
      </x:c>
      <x:c r="H93" s="5" t="str">
        <x:v>Teilweise umgesetzt</x:v>
      </x:c>
      <x:c r="I93" s="5" t="str">
        <x:v>Teilprüfung</x:v>
      </x:c>
      <x:c r="J93" s="5" t="str">
        <x:v>Offen</x:v>
      </x:c>
      <x:c r="K93" s="5" t="str">
        <x:v>Offen</x:v>
      </x:c>
      <x:c r="L93" s="5" t="str">
        <x:v>Offen</x:v>
      </x:c>
      <x:c r="M93" s="5" t="str">
        <x:v>Checkpoint 20: Anordnungsauswahl, Gültigkeit am Berliner Ereignistag und unveränderte Quellenfassung in der Durchführung ergänzt. Vollständige Verordnungsverwaltung und Fortschreibung nicht abgenommen. 55 neue lokale Schutzfälle bestanden; tatsächliche Datenbank-/Browser-/Fach-/Rechtsabnahme offen.</x:v>
      </x:c>
      <x:c r="N93" s="3" t="str">
        <x:f>IF(AND(H93="Umgesetzt",I93="Bestanden",OR(J93="Bestanden",J93="Entfällt geprüft"),OR(K93="Bestanden",K93="Entfällt geprüft"),OR(L93="Bestanden",L93="Entfällt geprüft"),M93&lt;&gt;""),"Abgenommen","Offen")</x:f>
        <x:v>Offen</x:v>
      </x:c>
      <x:c r="O93"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94" ht="155" customHeight="1">
      <x:c r="A94" s="3" t="str">
        <x:v>I-02</x:v>
      </x:c>
      <x:c r="B94" s="3" t="str">
        <x:v>I Behandlungspflege</x:v>
      </x:c>
      <x:c r="C94" s="3" t="str">
        <x:v>Behandlung und Genehmigung trennen</x:v>
      </x:c>
      <x:c r="D94" s="3" t="str">
        <x:v>Ärztliche Anordnung, Kostenträgerentscheidung, Fristen</x:v>
      </x:c>
      <x:c r="E94" s="3" t="str">
        <x:v>Fehlende Genehmigung löscht keine tatsächlich erfolgte Pflegehandlung.</x:v>
      </x:c>
      <x:c r="F94" s="3" t="str">
        <x:v>I-P01</x:v>
      </x:c>
      <x:c r="G94" s="3" t="str">
        <x:v>B-06, E-01</x:v>
      </x:c>
      <x:c r="H94" s="5" t="str">
        <x:v>Teilweise umgesetzt</x:v>
      </x:c>
      <x:c r="I94" s="5" t="str">
        <x:v>Teilprüfung</x:v>
      </x:c>
      <x:c r="J94" s="5" t="str">
        <x:v>Offen</x:v>
      </x:c>
      <x:c r="K94" s="5" t="str">
        <x:v>Offen</x:v>
      </x:c>
      <x:c r="L94" s="5" t="str">
        <x:v>Offen</x:v>
      </x:c>
      <x:c r="M94" s="5" t="str">
        <x:v>Checkpoint 20: Versicherungsstatus der ursprünglichen Anordnung separat angezeigt und bewahrt. Tatsächliche Handlung bei ungeklärter Grundlage mit Abweichung dokumentierbar; keine automatische Fach-/Abrechnungsfreigabe. 55 neue lokale Schutzfälle bestanden; tatsächliche Datenbank-/Browser-/Fach-/Rechtsabnahme offen.</x:v>
      </x:c>
      <x:c r="N94" s="3" t="str">
        <x:f>IF(AND(H94="Umgesetzt",I94="Bestanden",OR(J94="Bestanden",J94="Entfällt geprüft"),OR(K94="Bestanden",K94="Entfällt geprüft"),OR(L94="Bestanden",L94="Entfällt geprüft"),M94&lt;&gt;""),"Abgenommen","Offen")</x:f>
        <x:v>Offen</x:v>
      </x:c>
      <x:c r="O94"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95" ht="155" customHeight="1">
      <x:c r="A95" s="3" t="str">
        <x:v>I-03</x:v>
      </x:c>
      <x:c r="B95" s="3" t="str">
        <x:v>I Behandlungspflege</x:v>
      </x:c>
      <x:c r="C95" s="3" t="str">
        <x:v>Injektion dokumentieren</x:v>
      </x:c>
      <x:c r="D95" s="3" t="str">
        <x:v>Präparat, Dosis, Einheit, Weg, Stelle, Zeit, Verträglichkeit</x:v>
      </x:c>
      <x:c r="E95" s="3" t="str">
        <x:v>Injektion verbindet Verordnung, Medikamentengabe und relevante Beobachtung.</x:v>
      </x:c>
      <x:c r="F95" s="3" t="str">
        <x:v>I-P01</x:v>
      </x:c>
      <x:c r="G95" s="3" t="str">
        <x:v>B-06, E-01</x:v>
      </x:c>
      <x:c r="H95" s="5" t="str">
        <x:v>Teilweise umgesetzt</x:v>
      </x:c>
      <x:c r="I95" s="5" t="str">
        <x:v>Teilprüfung</x:v>
      </x:c>
      <x:c r="J95" s="5" t="str">
        <x:v>Offen</x:v>
      </x:c>
      <x:c r="K95" s="5" t="str">
        <x:v>Offen</x:v>
      </x:c>
      <x:c r="L95" s="5" t="str">
        <x:v>Offen</x:v>
      </x:c>
      <x:c r="M95" s="5" t="str">
        <x:v>Checkpoint 20: Eigenes Injektionsprofil mit tatsächlichem Präparat, Wirkstoff/Stärke, Menge, Einheit, Weg, Stelle, Hilfsmittel und Lokalbefund; Bezug zur vorhandenen tatsächlichen Gabe geprüft. 55 neue lokale Schutzfälle bestanden; tatsächliche Datenbank-/Browser-/Fach-/Rechtsabnahme offen.</x:v>
      </x:c>
      <x:c r="N95" s="3" t="str">
        <x:f>IF(AND(H95="Umgesetzt",I95="Bestanden",OR(J95="Bestanden",J95="Entfällt geprüft"),OR(K95="Bestanden",K95="Entfällt geprüft"),OR(L95="Bestanden",L95="Entfällt geprüft"),M95&lt;&gt;""),"Abgenommen","Offen")</x:f>
        <x:v>Offen</x:v>
      </x:c>
      <x:c r="O95"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96" ht="155" customHeight="1">
      <x:c r="A96" s="3" t="str">
        <x:v>I-04</x:v>
      </x:c>
      <x:c r="B96" s="3" t="str">
        <x:v>I Behandlungspflege</x:v>
      </x:c>
      <x:c r="C96" s="3" t="str">
        <x:v>Insulin und Diabetes</x:v>
      </x:c>
      <x:c r="D96" s="3" t="str">
        <x:v>Messwert mit Einheit, gültiger Plan, Dosis, Zeit, Verlauf</x:v>
      </x:c>
      <x:c r="E96" s="3" t="str">
        <x:v>Keine automatische Dosierung aus nicht freigegebenem oder veraltetem Schema.</x:v>
      </x:c>
      <x:c r="F96" s="3" t="str">
        <x:v>I-P02</x:v>
      </x:c>
      <x:c r="G96" s="3" t="str">
        <x:v>B-06, E-01</x:v>
      </x:c>
      <x:c r="H96" s="5" t="str">
        <x:v>Teilweise umgesetzt</x:v>
      </x:c>
      <x:c r="I96" s="5" t="str">
        <x:v>Teilprüfung</x:v>
      </x:c>
      <x:c r="J96" s="5" t="str">
        <x:v>Offen</x:v>
      </x:c>
      <x:c r="K96" s="5" t="str">
        <x:v>Offen</x:v>
      </x:c>
      <x:c r="L96" s="5" t="str">
        <x:v>Offen</x:v>
      </x:c>
      <x:c r="M96" s="5" t="str">
        <x:v>Checkpoint 20: Eigenes Insulinprofil mit Schema-/Quellenfassung, tatsächlicher Dosisentscheidung, Mahlzeitenbezug, Gabe und vorausgehender geeigneter Glukosemessung; keine automatische Dosisberechnung. 55 neue lokale Schutzfälle bestanden; tatsächliche Datenbank-/Browser-/Fach-/Rechtsabnahme offen.</x:v>
      </x:c>
      <x:c r="N96" s="3" t="str">
        <x:f>IF(AND(H96="Umgesetzt",I96="Bestanden",OR(J96="Bestanden",J96="Entfällt geprüft"),OR(K96="Bestanden",K96="Entfällt geprüft"),OR(L96="Bestanden",L96="Entfällt geprüft"),M96&lt;&gt;""),"Abgenommen","Offen")</x:f>
        <x:v>Offen</x:v>
      </x:c>
      <x:c r="O96"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97" ht="155" customHeight="1">
      <x:c r="A97" s="3" t="str">
        <x:v>I-05</x:v>
      </x:c>
      <x:c r="B97" s="3" t="str">
        <x:v>I Behandlungspflege</x:v>
      </x:c>
      <x:c r="C97" s="3" t="str">
        <x:v>Infusion durchführen</x:v>
      </x:c>
      <x:c r="D97" s="3" t="str">
        <x:v>Lösung, Volumen, Rate, Zugang, Beginn, Ende, Unterbrechung</x:v>
      </x:c>
      <x:c r="E97" s="3" t="str">
        <x:v>Einzelgabe und laufende Infusion sind getrennte dokumentierbare Abläufe.</x:v>
      </x:c>
      <x:c r="F97" s="3" t="str">
        <x:v>I-P02</x:v>
      </x:c>
      <x:c r="G97" s="3" t="str">
        <x:v>B-06, E-01</x:v>
      </x:c>
      <x:c r="H97" s="5" t="str">
        <x:v>Teilweise umgesetzt</x:v>
      </x:c>
      <x:c r="I97" s="5" t="str">
        <x:v>Teilprüfung</x:v>
      </x:c>
      <x:c r="J97" s="5" t="str">
        <x:v>Offen</x:v>
      </x:c>
      <x:c r="K97" s="5" t="str">
        <x:v>Offen</x:v>
      </x:c>
      <x:c r="L97" s="5" t="str">
        <x:v>Offen</x:v>
      </x:c>
      <x:c r="M97" s="5" t="str">
        <x:v>Checkpoint 22: Infusions-Webverlauf, Schreib-/Leseschnittstellen und lokaler SQL-Entwurf. 48 neue Fälle, 603/603 lokal bestanden. Unveränderte Wiederholung, vollständige Revisionen, Quellen und historische Personen geprüft. SQL/RLS/Browser/Fachabnahme offen.</x:v>
      </x:c>
      <x:c r="N97" s="3" t="str">
        <x:f>IF(AND(H97="Umgesetzt",I97="Bestanden",OR(J97="Bestanden",J97="Entfällt geprüft"),OR(K97="Bestanden",K97="Entfällt geprüft"),OR(L97="Bestanden",L97="Entfällt geprüft"),M97&lt;&gt;""),"Abgenommen","Offen")</x:f>
        <x:v>Offen</x:v>
      </x:c>
      <x:c r="O97" s="3" t="str">
        <x:v>SQL-Writer, RLS, Parallelität, Rollback und konsistente Rücklesung im autorisierten Testbestand nachweisen. Verbundenen Webablauf breit/schmal prüfen; individuelle Therapie-/Qualifikationsfreigabe und gesonderte Gabenverknüpfung vervollständigen.</x:v>
      </x:c>
    </x:row>
    <x:row r="98" ht="155" customHeight="1">
      <x:c r="A98" s="3" t="str">
        <x:v>I-06</x:v>
      </x:c>
      <x:c r="B98" s="3" t="str">
        <x:v>I Behandlungspflege</x:v>
      </x:c>
      <x:c r="C98" s="3" t="str">
        <x:v>Pumpen und Perfusoren</x:v>
      </x:c>
      <x:c r="D98" s="3" t="str">
        <x:v>Gerät, Einstellungen, Substanz, Rate, Änderung, Kontrollperson</x:v>
      </x:c>
      <x:c r="E98" s="3" t="str">
        <x:v>Jede Parameteränderung besitzt Zeitpunkt und verantwortliche Person.</x:v>
      </x:c>
      <x:c r="F98" s="3" t="str">
        <x:v>I-P02</x:v>
      </x:c>
      <x:c r="G98" s="3" t="str">
        <x:v>B-06, E-01</x:v>
      </x:c>
      <x:c r="H98" s="5" t="str">
        <x:v>Teilweise umgesetzt</x:v>
      </x:c>
      <x:c r="I98" s="5" t="str">
        <x:v>Teilprüfung</x:v>
      </x:c>
      <x:c r="J98" s="5" t="str">
        <x:v>Offen</x:v>
      </x:c>
      <x:c r="K98" s="5" t="str">
        <x:v>Offen</x:v>
      </x:c>
      <x:c r="L98" s="5" t="str">
        <x:v>Offen</x:v>
      </x:c>
      <x:c r="M98" s="5" t="str">
        <x:v>Checkpoint 22: Infusions-Webverlauf, Schreib-/Leseschnittstellen und lokaler SQL-Entwurf. 48 neue Fälle, 603/603 lokal bestanden. Unveränderte Wiederholung, vollständige Revisionen, Quellen und historische Personen geprüft. SQL/RLS/Browser/Fachabnahme offen.</x:v>
      </x:c>
      <x:c r="N98" s="3" t="str">
        <x:f>IF(AND(H98="Umgesetzt",I98="Bestanden",OR(J98="Bestanden",J98="Entfällt geprüft"),OR(K98="Bestanden",K98="Entfällt geprüft"),OR(L98="Bestanden",L98="Entfällt geprüft"),M98&lt;&gt;""),"Abgenommen","Offen")</x:f>
        <x:v>Offen</x:v>
      </x:c>
      <x:c r="O98" s="3" t="str">
        <x:v>SQL-Writer, RLS, Parallelität, Rollback und konsistente Rücklesung im autorisierten Testbestand nachweisen. Verbundenen Webablauf breit/schmal prüfen; individuelle Therapie-/Qualifikationsfreigabe und gesonderte Gabenverknüpfung vervollständigen.</x:v>
      </x:c>
    </x:row>
    <x:row r="99" ht="155" customHeight="1">
      <x:c r="A99" s="3" t="str">
        <x:v>I-07</x:v>
      </x:c>
      <x:c r="B99" s="3" t="str">
        <x:v>I Behandlungspflege</x:v>
      </x:c>
      <x:c r="C99" s="3" t="str">
        <x:v>Inhalation und Instillation</x:v>
      </x:c>
      <x:c r="D99" s="3" t="str">
        <x:v>Mittel, Dosis, Gerät, Applikationsort, Durchführung, Wirkung</x:v>
      </x:c>
      <x:c r="E99" s="3" t="str">
        <x:v>Tatsächliche Durchführung und Nichtdurchführung sind unterscheidbar.</x:v>
      </x:c>
      <x:c r="F99" s="3" t="str">
        <x:v>I-P03</x:v>
      </x:c>
      <x:c r="G99" s="3" t="str">
        <x:v>B-06, E-01</x:v>
      </x:c>
      <x:c r="H99" s="5" t="str">
        <x:v>Teilweise umgesetzt</x:v>
      </x:c>
      <x:c r="I99" s="5" t="str">
        <x:v>Teilprüfung</x:v>
      </x:c>
      <x:c r="J99" s="5" t="str">
        <x:v>Offen</x:v>
      </x:c>
      <x:c r="K99" s="5" t="str">
        <x:v>Offen</x:v>
      </x:c>
      <x:c r="L99" s="5" t="str">
        <x:v>Offen</x:v>
      </x:c>
      <x:c r="M99" s="5" t="str">
        <x:v>Checkpoint 20: Eigene Profile für Inhalation und Instillation mit tatsächlichen Dosis-/Applikationsangaben, Gerät/Dauer beziehungsweise Technik und beobachtetem Ergebnis. 55 neue lokale Schutzfälle bestanden; tatsächliche Datenbank-/Browser-/Fach-/Rechtsabnahme offen.</x:v>
      </x:c>
      <x:c r="N99" s="3" t="str">
        <x:f>IF(AND(H99="Umgesetzt",I99="Bestanden",OR(J99="Bestanden",J99="Entfällt geprüft"),OR(K99="Bestanden",K99="Entfällt geprüft"),OR(L99="Bestanden",L99="Entfällt geprüft"),M99&lt;&gt;""),"Abgenommen","Offen")</x:f>
        <x:v>Offen</x:v>
      </x:c>
      <x:c r="O99"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100" ht="155" customHeight="1">
      <x:c r="A100" s="3" t="str">
        <x:v>I-08</x:v>
      </x:c>
      <x:c r="B100" s="3" t="str">
        <x:v>I Behandlungspflege</x:v>
      </x:c>
      <x:c r="C100" s="3" t="str">
        <x:v>Kompression</x:v>
      </x:c>
      <x:c r="D100" s="3" t="str">
        <x:v>Verordnung, Material, Seite, Technik, Haut, Verträglichkeit</x:v>
      </x:c>
      <x:c r="E100" s="3" t="str">
        <x:v>Gültige Anweisung und dokumentierte Beobachtung sind miteinander verknüpft.</x:v>
      </x:c>
      <x:c r="F100" s="3" t="str">
        <x:v>I-P03</x:v>
      </x:c>
      <x:c r="G100" s="3" t="str">
        <x:v>B-06, E-01</x:v>
      </x:c>
      <x:c r="H100" s="5" t="str">
        <x:v>Teilweise umgesetzt</x:v>
      </x:c>
      <x:c r="I100" s="5" t="str">
        <x:v>Teilprüfung</x:v>
      </x:c>
      <x:c r="J100" s="5" t="str">
        <x:v>Offen</x:v>
      </x:c>
      <x:c r="K100" s="5" t="str">
        <x:v>Offen</x:v>
      </x:c>
      <x:c r="L100" s="5" t="str">
        <x:v>Offen</x:v>
      </x:c>
      <x:c r="M100" s="5" t="str">
        <x:v>Checkpoint 20: Eigenes Kompressionsprofil mit Handlung, Seite, Material/System, Technik, Vor-/Nachbefund und Verträglichkeit. 55 neue lokale Schutzfälle bestanden; tatsächliche Datenbank-/Browser-/Fach-/Rechtsabnahme offen.</x:v>
      </x:c>
      <x:c r="N100" s="3" t="str">
        <x:f>IF(AND(H100="Umgesetzt",I100="Bestanden",OR(J100="Bestanden",J100="Entfällt geprüft"),OR(K100="Bestanden",K100="Entfällt geprüft"),OR(L100="Bestanden",L100="Entfällt geprüft"),M100&lt;&gt;""),"Abgenommen","Offen")</x:f>
        <x:v>Offen</x:v>
      </x:c>
      <x:c r="O100"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101" ht="155" customHeight="1">
      <x:c r="A101" s="3" t="str">
        <x:v>I-09</x:v>
      </x:c>
      <x:c r="B101" s="3" t="str">
        <x:v>I Behandlungspflege</x:v>
      </x:c>
      <x:c r="C101" s="3" t="str">
        <x:v>Zugänge und Drainagen</x:v>
      </x:c>
      <x:c r="D101" s="3" t="str">
        <x:v>Zugangstyp, Lokalisation, Verband, Menge, Auffälligkeit</x:v>
      </x:c>
      <x:c r="E101" s="3" t="str">
        <x:v>Problematische Beobachtung führt zu nachverfolgbarem Kontakt oder Maßnahme.</x:v>
      </x:c>
      <x:c r="F101" s="3" t="str">
        <x:v>I-P03</x:v>
      </x:c>
      <x:c r="G101" s="3" t="str">
        <x:v>B-06, E-01</x:v>
      </x:c>
      <x:c r="H101" s="5" t="str">
        <x:v>Teilweise umgesetzt</x:v>
      </x:c>
      <x:c r="I101" s="5" t="str">
        <x:v>Teilprüfung</x:v>
      </x:c>
      <x:c r="J101" s="5" t="str">
        <x:v>Offen</x:v>
      </x:c>
      <x:c r="K101" s="5" t="str">
        <x:v>Offen</x:v>
      </x:c>
      <x:c r="L101" s="5" t="str">
        <x:v>Offen</x:v>
      </x:c>
      <x:c r="M101" s="5" t="str">
        <x:v>Checkpoint 20: Eigenes Zugangs-/Drainagenprofil mit Typ, Ort, Handlung, Lage/Fixierung, Fluss/Sekret, gemessener Menge oder ausdrücklich begründeter fehlender Messung. 55 neue lokale Schutzfälle bestanden; tatsächliche Datenbank-/Browser-/Fach-/Rechtsabnahme offen.</x:v>
      </x:c>
      <x:c r="N101" s="3" t="str">
        <x:f>IF(AND(H101="Umgesetzt",I101="Bestanden",OR(J101="Bestanden",J101="Entfällt geprüft"),OR(K101="Bestanden",K101="Entfällt geprüft"),OR(L101="Bestanden",L101="Entfällt geprüft"),M101&lt;&gt;""),"Abgenommen","Offen")</x:f>
        <x:v>Offen</x:v>
      </x:c>
      <x:c r="O101"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102" ht="44" customHeight="1">
      <x:c r="A102" s="3" t="str">
        <x:v>I-10</x:v>
      </x:c>
      <x:c r="B102" s="3" t="str">
        <x:v>I Behandlungspflege</x:v>
      </x:c>
      <x:c r="C102" s="3" t="str">
        <x:v>Weitere HKP-Leistungen</x:v>
      </x:c>
      <x:c r="D102" s="3" t="str">
        <x:v>Leistungsverzeichnis, konkrete Maßnahme, Qualifikation, Nachweis</x:v>
      </x:c>
      <x:c r="E102" s="3" t="str">
        <x:v>Jede angebotene Leistung erhält eigene fachliche Felder und Abnahmefälle.</x:v>
      </x:c>
      <x:c r="F102" s="3" t="str">
        <x:v>I-P04</x:v>
      </x:c>
      <x:c r="G102" s="3" t="str">
        <x:v>B-06, E-01</x:v>
      </x:c>
      <x:c r="H102" s="5" t="str">
        <x:v>Bestand zu prüfen</x:v>
      </x:c>
      <x:c r="I102" s="5" t="str">
        <x:v>Offen</x:v>
      </x:c>
      <x:c r="J102" s="5" t="str">
        <x:v>Offen</x:v>
      </x:c>
      <x:c r="K102" s="5" t="str">
        <x:v>Offen</x:v>
      </x:c>
      <x:c r="L102" s="5" t="str">
        <x:v>Offen</x:v>
      </x:c>
      <x:c r="M102" s="5" t="str"/>
      <x:c r="N102" s="3" t="str">
        <x:f>IF(AND(H102="Umgesetzt",I102="Bestanden",OR(J102="Bestanden",J102="Entfällt geprüft"),OR(K102="Bestanden",K102="Entfällt geprüft"),OR(L102="Bestanden",L102="Entfällt geprüft"),M102&lt;&gt;""),"Abgenommen","Offen")</x:f>
        <x:v>Offen</x:v>
      </x:c>
      <x:c r="O102" s="3" t="str">
        <x:v>Bestehenden Ablauf für „Weitere HKP-Leistungen“ prüfen. Fehlende Datenfelder und Einzelfälle ergänzen, anschließend den genannten Abnahmefall nachweisen.</x:v>
      </x:c>
    </x:row>
    <x:row r="103" ht="155" customHeight="1">
      <x:c r="A103" s="3" t="str">
        <x:v>I-11</x:v>
      </x:c>
      <x:c r="B103" s="3" t="str">
        <x:v>I Behandlungspflege</x:v>
      </x:c>
      <x:c r="C103" s="3" t="str">
        <x:v>Ärztliche Schemaänderung</x:v>
      </x:c>
      <x:c r="D103" s="3" t="str">
        <x:v>Originalschema, neue Fassung, Gültigkeit, Übernahmeprüfung</x:v>
      </x:c>
      <x:c r="E103" s="3" t="str">
        <x:v>Neue Fassung erzeugt keine rückwirkende Änderung dokumentierter Dosen.</x:v>
      </x:c>
      <x:c r="F103" s="3" t="str">
        <x:v>I-P04</x:v>
      </x:c>
      <x:c r="G103" s="3" t="str">
        <x:v>B-06, E-01</x:v>
      </x:c>
      <x:c r="H103" s="5" t="str">
        <x:v>Teilweise umgesetzt</x:v>
      </x:c>
      <x:c r="I103" s="5" t="str">
        <x:v>Teilprüfung</x:v>
      </x:c>
      <x:c r="J103" s="5" t="str">
        <x:v>Offen</x:v>
      </x:c>
      <x:c r="K103" s="5" t="str">
        <x:v>Offen</x:v>
      </x:c>
      <x:c r="L103" s="5" t="str">
        <x:v>Offen</x:v>
      </x:c>
      <x:c r="M103" s="5" t="str">
        <x:v>Checkpoint 22: Infusions-Webverlauf, Schreib-/Leseschnittstellen und lokaler SQL-Entwurf. 48 neue Fälle, 603/603 lokal bestanden. Unveränderte Wiederholung, vollständige Revisionen, Quellen und historische Personen geprüft. SQL/RLS/Browser/Fachabnahme offen.</x:v>
      </x:c>
      <x:c r="N103" s="3" t="str">
        <x:f>IF(AND(H103="Umgesetzt",I103="Bestanden",OR(J103="Bestanden",J103="Entfällt geprüft"),OR(K103="Bestanden",K103="Entfällt geprüft"),OR(L103="Bestanden",L103="Entfällt geprüft"),M103&lt;&gt;""),"Abgenommen","Offen")</x:f>
        <x:v>Offen</x:v>
      </x:c>
      <x:c r="O103" s="3" t="str">
        <x:v>SQL-Writer, RLS, Parallelität, Rollback und konsistente Rücklesung im autorisierten Testbestand nachweisen. Verbundenen Webablauf breit/schmal prüfen; individuelle Therapie-/Qualifikationsfreigabe und gesonderte Gabenverknüpfung vervollständigen.</x:v>
      </x:c>
    </x:row>
    <x:row r="104" ht="155" customHeight="1">
      <x:c r="A104" s="3" t="str">
        <x:v>I-12</x:v>
      </x:c>
      <x:c r="B104" s="3" t="str">
        <x:v>I Behandlungspflege</x:v>
      </x:c>
      <x:c r="C104" s="3" t="str">
        <x:v>Messung mit Behandlung verknüpfen</x:v>
      </x:c>
      <x:c r="D104" s="3" t="str">
        <x:v>Originalmessung, Zeit, Einheit, Planversion, tatsächliche Handlung</x:v>
      </x:c>
      <x:c r="E104" s="3" t="str">
        <x:v>Behandlung kann nicht mit einem fremden oder zeitlich ungeeigneten Wert begründet werden.</x:v>
      </x:c>
      <x:c r="F104" s="3" t="str">
        <x:v>I-P04</x:v>
      </x:c>
      <x:c r="G104" s="3" t="str">
        <x:v>B-06, E-01</x:v>
      </x:c>
      <x:c r="H104" s="5" t="str">
        <x:v>Teilweise umgesetzt</x:v>
      </x:c>
      <x:c r="I104" s="5" t="str">
        <x:v>Teilprüfung</x:v>
      </x:c>
      <x:c r="J104" s="5" t="str">
        <x:v>Offen</x:v>
      </x:c>
      <x:c r="K104" s="5" t="str">
        <x:v>Offen</x:v>
      </x:c>
      <x:c r="L104" s="5" t="str">
        <x:v>Offen</x:v>
      </x:c>
      <x:c r="M104" s="5" t="str">
        <x:v>Checkpoint 20: Originalmessung mit Einheit, Zeitpunkt, unverändertem Quellenstand und begründeter maximaler Alterung zugeordnet; ungültige, fremde, spätere und unpassende Insulinmessungen abgewiesen. 55 neue lokale Schutzfälle bestanden; tatsächliche Datenbank-/Browser-/Fach-/Rechtsabnahme offen.</x:v>
      </x:c>
      <x:c r="N104" s="3" t="str">
        <x:f>IF(AND(H104="Umgesetzt",I104="Bestanden",OR(J104="Bestanden",J104="Entfällt geprüft"),OR(K104="Bestanden",K104="Entfällt geprüft"),OR(L104="Bestanden",L104="Entfällt geprüft"),M104&lt;&gt;""),"Abgenommen","Offen")</x:f>
        <x:v>Offen</x:v>
      </x:c>
      <x:c r="O104" s="3" t="str">
        <x:v>Reale SQL-/RLS-/Parallelitäts-/Replay-/Rollbackfälle, Quellenrücklesung und Webbedienung breit/schmal prüfen. Konkrete klinische Praxisszenarien, tatsächliche Kompetenz-/Delegationsfreigabe und Rechtsgrundlage abnehmen. Vollständige Anordnungsverwaltung, Abweichungsnachverfolgung und Kontrollabschluss ergänzen.</x:v>
      </x:c>
    </x:row>
    <x:row r="105" ht="155" customHeight="1">
      <x:c r="A105" s="3" t="str">
        <x:v>J-01</x:v>
      </x:c>
      <x:c r="B105" s="3" t="str">
        <x:v>J Wunden und Verbände</x:v>
      </x:c>
      <x:c r="C105" s="3" t="str">
        <x:v>Wunde eindeutig erfassen</x:v>
      </x:c>
      <x:c r="D105" s="3" t="str">
        <x:v>Wund-ID, Lokalisation, Seite, Entstehung, ärztliche Grundlage</x:v>
      </x:c>
      <x:c r="E105" s="3" t="str">
        <x:v>Zwei Wunden desselben Klienten erhalten getrennte Verläufe.</x:v>
      </x:c>
      <x:c r="F105" s="3" t="str">
        <x:v>J-P01</x:v>
      </x:c>
      <x:c r="G105" s="3" t="str">
        <x:v>I-01, E-01</x:v>
      </x:c>
      <x:c r="H105" s="5" t="str">
        <x:v>Teilweise umgesetzt</x:v>
      </x:c>
      <x:c r="I105" s="5" t="str">
        <x:v>Teilprüfung</x:v>
      </x:c>
      <x:c r="J105" s="5" t="str">
        <x:v>Offen</x:v>
      </x:c>
      <x:c r="K105" s="5" t="str">
        <x:v>Offen</x:v>
      </x:c>
      <x:c r="L105" s="5" t="str">
        <x:v>Offen</x:v>
      </x:c>
      <x:c r="M105" s="5" t="str">
        <x:v>CP15/113/115: Getrennte native Wundfälle und aktuelle vollständige Web-Liste. Alte Öffnungen bei Nachladen, Fehler, Benutzer-/Rechtewechsel oder verändertem Original gesperrt. 65 neue Fälle, 3166 Gesamttests bestanden. Browser/SQL/Fachabnahmen offen.</x:v>
      </x:c>
      <x:c r="N105" s="3" t="str">
        <x:f>IF(AND(H105="Umgesetzt",I105="Bestanden",OR(J105="Bestanden",J105="Entfällt geprüft"),OR(K105="Bestanden",K105="Entfällt geprüft"),OR(L105="Bestanden",L105="Entfällt geprüft"),M105&lt;&gt;""),"Abgenommen","Offen")</x:f>
        <x:v>Offen</x:v>
      </x:c>
      <x:c r="O105" s="3" t="str">
        <x:v>Foto-/Einwilligungsablauf, echte breite/schmale Webbedienung, SQL/RLS und Fach-/Rechtsabnahme nachweisen. Liste umfasst die vom Dienst gelieferten aktiven zugänglichen Pflegefälle; historische Vollständigkeit bleibt offen.</x:v>
      </x:c>
    </x:row>
    <x:row r="106" ht="155" customHeight="1">
      <x:c r="A106" s="3" t="str">
        <x:v>J-02</x:v>
      </x:c>
      <x:c r="B106" s="3" t="str">
        <x:v>J Wunden und Verbände</x:v>
      </x:c>
      <x:c r="C106" s="3" t="str">
        <x:v>Wundassessment</x:v>
      </x:c>
      <x:c r="D106" s="3" t="str">
        <x:v>Art, Größe, Tiefe, Gewebe, Exsudat, Geruch, Wundumgebung</x:v>
      </x:c>
      <x:c r="E106" s="3" t="str">
        <x:v>Einheiten und fehlende Messmöglichkeiten bleiben sichtbar.</x:v>
      </x:c>
      <x:c r="F106" s="3" t="str">
        <x:v>J-P01</x:v>
      </x:c>
      <x:c r="G106" s="3" t="str">
        <x:v>I-01, E-01</x:v>
      </x:c>
      <x:c r="H106" s="5" t="str">
        <x:v>Teilweise umgesetzt</x:v>
      </x:c>
      <x:c r="I106" s="5" t="str">
        <x:v>Teilprüfung</x:v>
      </x:c>
      <x:c r="J106" s="5" t="str">
        <x:v>Offen</x:v>
      </x:c>
      <x:c r="K106" s="5" t="str">
        <x:v>Offen</x:v>
      </x:c>
      <x:c r="L106" s="5" t="str">
        <x:v>Offen</x:v>
      </x:c>
      <x:c r="M106" s="5" t="str">
        <x:v>CP133: Wundassessment-Berichtigung nutzt aktuelle Live-Rechte; unveränderter Originalretry erhalten. 4243 lokale Tests.</x:v>
      </x:c>
      <x:c r="N106" s="3" t="str">
        <x:f>IF(AND(H106="Umgesetzt",I106="Bestanden",OR(J106="Bestanden",J106="Entfällt geprüft"),OR(K106="Bestanden",K106="Entfällt geprüft"),OR(L106="Bestanden",L106="Entfällt geprüft"),M106&lt;&gt;""),"Abgenommen","Offen")</x:f>
        <x:v>Offen</x:v>
      </x:c>
      <x:c r="O106" s="3" t="str">
        <x:v>Echte React-/SQL-/RLS-Berichtigung, Mess-/Bildbezug und Fach-/Design-/Rechtsabnahme nachweisen.</x:v>
      </x:c>
    </x:row>
    <x:row r="107" ht="44" customHeight="1">
      <x:c r="A107" s="3" t="str">
        <x:v>J-03</x:v>
      </x:c>
      <x:c r="B107" s="3" t="str">
        <x:v>J Wunden und Verbände</x:v>
      </x:c>
      <x:c r="C107" s="3" t="str">
        <x:v>Wundfoto aufnehmen</x:v>
      </x:c>
      <x:c r="D107" s="3" t="str">
        <x:v>Wundzuordnung, Datum, Einwilligungsgrundlage, Zugriff, Bildqualität</x:v>
      </x:c>
      <x:c r="E107" s="3" t="str">
        <x:v>Foto wird keinem falschen Klienten oder falscher Wunde zugeordnet.</x:v>
      </x:c>
      <x:c r="F107" s="3" t="str">
        <x:v>J-P01</x:v>
      </x:c>
      <x:c r="G107" s="3" t="str">
        <x:v>I-01, E-01</x:v>
      </x:c>
      <x:c r="H107" s="5" t="str">
        <x:v>Teilweise umgesetzt</x:v>
      </x:c>
      <x:c r="I107" s="5" t="str">
        <x:v>Teilprüfung</x:v>
      </x:c>
      <x:c r="J107" s="5" t="str">
        <x:v>Offen</x:v>
      </x:c>
      <x:c r="K107" s="5" t="str">
        <x:v>Offen</x:v>
      </x:c>
      <x:c r="L107" s="5" t="str">
        <x:v>Offen</x:v>
      </x:c>
      <x:c r="M107" s="5" t="str">
        <x:v>CP122: Original-Fotoverweise und Berichtigungen getrennt. 3523 Tests; Aufnahme/Medienbindung/Einwilligung offen.</x:v>
      </x:c>
      <x:c r="N107" s="3" t="str">
        <x:f>IF(AND(H107="Umgesetzt",I107="Bestanden",OR(J107="Bestanden",J107="Entfällt geprüft"),OR(K107="Bestanden",K107="Entfällt geprüft"),OR(L107="Bestanden",L107="Entfällt geprüft"),M107&lt;&gt;""),"Abgenommen","Offen")</x:f>
        <x:v>Offen</x:v>
      </x:c>
      <x:c r="O107" s="3" t="str">
        <x:v>Native Bildaufnahme, Wund-/Medien-/Einwilligungsbindung und echten Zugriff prüfen; Browser/SQL/Fach/Recht offen.</x:v>
      </x:c>
    </x:row>
    <x:row r="108" ht="44" customHeight="1">
      <x:c r="A108" s="3" t="str">
        <x:v>J-04</x:v>
      </x:c>
      <x:c r="B108" s="3" t="str">
        <x:v>J Wunden und Verbände</x:v>
      </x:c>
      <x:c r="C108" s="3" t="str">
        <x:v>Wundverlauf vergleichen</x:v>
      </x:c>
      <x:c r="D108" s="3" t="str">
        <x:v>Messzeitpunkte, identische Einheiten, Bildbezug, Bewertung</x:v>
      </x:c>
      <x:c r="E108" s="3" t="str">
        <x:v>Nicht vergleichbare Messungen erzeugen keinen irreführenden Fortschritt.</x:v>
      </x:c>
      <x:c r="F108" s="3" t="str">
        <x:v>J-P02</x:v>
      </x:c>
      <x:c r="G108" s="3" t="str">
        <x:v>I-01, E-01</x:v>
      </x:c>
      <x:c r="H108" s="5" t="str">
        <x:v>Teilweise umgesetzt</x:v>
      </x:c>
      <x:c r="I108" s="5" t="str">
        <x:v>Teilprüfung</x:v>
      </x:c>
      <x:c r="J108" s="5" t="str">
        <x:v>Offen</x:v>
      </x:c>
      <x:c r="K108" s="5" t="str">
        <x:v>Offen</x:v>
      </x:c>
      <x:c r="L108" s="5" t="str">
        <x:v>Offen</x:v>
      </x:c>
      <x:c r="M108" s="5" t="str">
        <x:v>CP113: Zwei native Originalbefunde/Messmethoden vergleichen;36 neue Risiken,3101 Tests. Keine Verlaufsfreigabe. Abnahmen offen.</x:v>
      </x:c>
      <x:c r="N108" s="3" t="str">
        <x:f>IF(AND(H108="Umgesetzt",I108="Bestanden",OR(J108="Bestanden",J108="Entfällt geprüft"),OR(K108="Bestanden",K108="Entfällt geprüft"),OR(L108="Bestanden",L108="Entfällt geprüft"),M108&lt;&gt;""),"Abgenommen","Offen")</x:f>
        <x:v>Offen</x:v>
      </x:c>
      <x:c r="O108" s="3" t="str">
        <x:v>Fachliche Vergleichbarkeit und Bildbezug prüfen; Reaktions-/Kontaktkette ergänzen. Web/SQL/Fachabnahmen offen.</x:v>
      </x:c>
    </x:row>
    <x:row r="109" ht="155" customHeight="1">
      <x:c r="A109" s="3" t="str">
        <x:v>J-05</x:v>
      </x:c>
      <x:c r="B109" s="3" t="str">
        <x:v>J Wunden und Verbände</x:v>
      </x:c>
      <x:c r="C109" s="3" t="str">
        <x:v>Verbandwechsel dokumentieren</x:v>
      </x:c>
      <x:c r="D109" s="3" t="str">
        <x:v>Reinigung, Material, Technik, Zeit, Schmerz, Verträglichkeit</x:v>
      </x:c>
      <x:c r="E109" s="3" t="str">
        <x:v>Verbrauch und Versorgung sind der richtigen Wunde zugeordnet.</x:v>
      </x:c>
      <x:c r="F109" s="3" t="str">
        <x:v>J-P02</x:v>
      </x:c>
      <x:c r="G109" s="3" t="str">
        <x:v>I-01, E-01</x:v>
      </x:c>
      <x:c r="H109" s="5" t="str">
        <x:v>Teilweise umgesetzt</x:v>
      </x:c>
      <x:c r="I109" s="5" t="str">
        <x:v>Teilprüfung</x:v>
      </x:c>
      <x:c r="J109" s="5" t="str">
        <x:v>Offen</x:v>
      </x:c>
      <x:c r="K109" s="5" t="str">
        <x:v>Offen</x:v>
      </x:c>
      <x:c r="L109" s="5" t="str">
        <x:v>Offen</x:v>
      </x:c>
      <x:c r="M109" s="5" t="str">
        <x:v>CP120: Eigene unbestätigte Versorgungsanfrage erhalten; unveränderte Wiederholung mit aktuellem Read. 3453 Tests; Abnahmen offen.</x:v>
      </x:c>
      <x:c r="N109" s="3" t="str">
        <x:f>IF(AND(H109="Umgesetzt",I109="Bestanden",OR(J109="Bestanden",J109="Entfällt geprüft"),OR(K109="Bestanden",K109="Entfällt geprüft"),OR(L109="Bestanden",L109="Entfällt geprüft"),M109&lt;&gt;""),"Abgenommen","Offen")</x:f>
        <x:v>Offen</x:v>
      </x:c>
      <x:c r="O109" s="3" t="str">
        <x:v>Reale React-/SQL-/RLS-Wiederaufnahme und Fachprüfung; strukturierter Kontaktvertrag J-07 bleibt offen.</x:v>
      </x:c>
    </x:row>
    <x:row r="110" ht="155" customHeight="1">
      <x:c r="A110" s="3" t="str">
        <x:v>J-06</x:v>
      </x:c>
      <x:c r="B110" s="3" t="str">
        <x:v>J Wunden und Verbände</x:v>
      </x:c>
      <x:c r="C110" s="3" t="str">
        <x:v>Wundplan ändern</x:v>
      </x:c>
      <x:c r="D110" s="3" t="str">
        <x:v>Ärztliche Anordnung, Version, Wirksamkeit, Wechselintervall</x:v>
      </x:c>
      <x:c r="E110" s="3" t="str">
        <x:v>Ausgeführter Wechsel behält den zum Zeitpunkt gültigen Plan.</x:v>
      </x:c>
      <x:c r="F110" s="3" t="str">
        <x:v>J-P02</x:v>
      </x:c>
      <x:c r="G110" s="3" t="str">
        <x:v>I-01, E-01</x:v>
      </x:c>
      <x:c r="H110" s="5" t="str">
        <x:v>Teilweise umgesetzt</x:v>
      </x:c>
      <x:c r="I110" s="5" t="str">
        <x:v>Teilprüfung</x:v>
      </x:c>
      <x:c r="J110" s="5" t="str">
        <x:v>Offen</x:v>
      </x:c>
      <x:c r="K110" s="5" t="str">
        <x:v>Offen</x:v>
      </x:c>
      <x:c r="L110" s="5" t="str">
        <x:v>Offen</x:v>
      </x:c>
      <x:c r="M110" s="5" t="str">
        <x:v>CP133: Live-Rechte und geänderte Verbandleserechte sperren alte Planbelege; Originalretry erhalten. 4243 lokale Tests.</x:v>
      </x:c>
      <x:c r="N110" s="3" t="str">
        <x:f>IF(AND(H110="Umgesetzt",I110="Bestanden",OR(J110="Bestanden",J110="Entfällt geprüft"),OR(K110="Bestanden",K110="Entfällt geprüft"),OR(L110="Bestanden",L110="Entfällt geprüft"),M110&lt;&gt;""),"Abgenommen","Offen")</x:f>
        <x:v>Offen</x:v>
      </x:c>
      <x:c r="O110" s="3" t="str">
        <x:v>Gültigen Originalplan und reale Wiederaufnahme fachlich prüfen; Browser/SQL/RLS/Neustart offen.</x:v>
      </x:c>
    </x:row>
    <x:row r="111" ht="44" customHeight="1">
      <x:c r="A111" s="3" t="str">
        <x:v>J-07</x:v>
      </x:c>
      <x:c r="B111" s="3" t="str">
        <x:v>J Wunden und Verbände</x:v>
      </x:c>
      <x:c r="C111" s="3" t="str">
        <x:v>Infektionsverdacht und Eskalation</x:v>
      </x:c>
      <x:c r="D111" s="3" t="str">
        <x:v>Beobachtung, Zeit, Reaktion, Kontakt, Rückmeldung</x:v>
      </x:c>
      <x:c r="E111" s="3" t="str">
        <x:v>Verdacht wird mit tatsächlicher Reaktion bis Abschluss nachgehalten.</x:v>
      </x:c>
      <x:c r="F111" s="3" t="str">
        <x:v>J-P03</x:v>
      </x:c>
      <x:c r="G111" s="3" t="str">
        <x:v>I-01, E-01</x:v>
      </x:c>
      <x:c r="H111" s="5" t="str">
        <x:v>Bestand zu prüfen</x:v>
      </x:c>
      <x:c r="I111" s="5" t="str">
        <x:v>Offen</x:v>
      </x:c>
      <x:c r="J111" s="5" t="str">
        <x:v>Offen</x:v>
      </x:c>
      <x:c r="K111" s="5" t="str">
        <x:v>Offen</x:v>
      </x:c>
      <x:c r="L111" s="5" t="str">
        <x:v>Offen</x:v>
      </x:c>
      <x:c r="M111" s="5" t="str"/>
      <x:c r="N111" s="3" t="str">
        <x:f>IF(AND(H111="Umgesetzt",I111="Bestanden",OR(J111="Bestanden",J111="Entfällt geprüft"),OR(K111="Bestanden",K111="Entfällt geprüft"),OR(L111="Bestanden",L111="Entfällt geprüft"),M111&lt;&gt;""),"Abgenommen","Offen")</x:f>
        <x:v>Offen</x:v>
      </x:c>
      <x:c r="O111" s="3" t="str">
        <x:v>Bestehenden Ablauf für „Infektionsverdacht und Eskalation“ prüfen. Fehlende Datenfelder und Einzelfälle ergänzen, anschließend den genannten Abnahmefall nachweisen.</x:v>
      </x:c>
    </x:row>
    <x:row r="112" ht="155" customHeight="1">
      <x:c r="A112" s="3" t="str">
        <x:v>J-08</x:v>
      </x:c>
      <x:c r="B112" s="3" t="str">
        <x:v>J Wunden und Verbände</x:v>
      </x:c>
      <x:c r="C112" s="3" t="str">
        <x:v>Wunde abschließen oder wieder öffnen</x:v>
      </x:c>
      <x:c r="D112" s="3" t="str">
        <x:v>Begründung, Verlauf, Datum, verantwortliche Person</x:v>
      </x:c>
      <x:c r="E112" s="3" t="str">
        <x:v>Abgeschlossener Verlauf bleibt erhalten und Wiederöffnung ist erkennbar.</x:v>
      </x:c>
      <x:c r="F112" s="3" t="str">
        <x:v>J-P03</x:v>
      </x:c>
      <x:c r="G112" s="3" t="str">
        <x:v>I-01, E-01</x:v>
      </x:c>
      <x:c r="H112" s="5" t="str">
        <x:v>Teilweise umgesetzt</x:v>
      </x:c>
      <x:c r="I112" s="5" t="str">
        <x:v>Teilprüfung</x:v>
      </x:c>
      <x:c r="J112" s="5" t="str">
        <x:v>Offen</x:v>
      </x:c>
      <x:c r="K112" s="5" t="str">
        <x:v>Offen</x:v>
      </x:c>
      <x:c r="L112" s="5" t="str">
        <x:v>Offen</x:v>
      </x:c>
      <x:c r="M112" s="5" t="str">
        <x:v>CP133: Statusformular prüft Live-Rechte vor Save/Retry/Schließen; eigene Originalanfrage bleibt erhalten. 4243 Tests.</x:v>
      </x:c>
      <x:c r="N112" s="3" t="str">
        <x:f>IF(AND(H112="Umgesetzt",I112="Bestanden",OR(J112="Bestanden",J112="Entfällt geprüft"),OR(K112="Bestanden",K112="Entfällt geprüft"),OR(L112="Bestanden",L112="Entfällt geprüft"),M112&lt;&gt;""),"Abgenommen","Offen")</x:f>
        <x:v>Offen</x:v>
      </x:c>
      <x:c r="O112" s="3" t="str">
        <x:v>Begründete fachliche Statusentscheidung und echte React-/SQL-/RLS-Wiederholung abnehmen; Neustart offen.</x:v>
      </x:c>
    </x:row>
    <x:row r="113" ht="155" customHeight="1">
      <x:c r="A113" s="3" t="str">
        <x:v>K-01</x:v>
      </x:c>
      <x:c r="B113" s="3" t="str">
        <x:v>K Vitalwerte und Verlaufsbewertung</x:v>
      </x:c>
      <x:c r="C113" s="3" t="str">
        <x:v>Blutdruck und Puls</x:v>
      </x:c>
      <x:c r="D113" s="3" t="str">
        <x:v>Systolisch, diastolisch, mmHg, bpm, Messsituation, Zeit</x:v>
      </x:c>
      <x:c r="E113" s="3" t="str">
        <x:v>Vertauschte oder unplausible Werte erfordern ausdrückliche Klärung.</x:v>
      </x:c>
      <x:c r="F113" s="3" t="str">
        <x:v>K-P01</x:v>
      </x:c>
      <x:c r="G113" s="3" t="str">
        <x:v>B-02, E-01</x:v>
      </x:c>
      <x:c r="H113" s="5" t="str">
        <x:v>Teilweise umgesetzt</x:v>
      </x:c>
      <x:c r="I113" s="5" t="str">
        <x:v>Teilprüfung</x:v>
      </x:c>
      <x:c r="J113" s="5" t="str">
        <x:v>Offen</x:v>
      </x:c>
      <x:c r="K113" s="5" t="str">
        <x:v>Offen</x:v>
      </x:c>
      <x:c r="L113" s="5" t="str">
        <x:v>Offen</x:v>
      </x:c>
      <x:c r="M113" s="5" t="str">
        <x:v>CP150: Native Erfassung prüft aktuelle eigene Auswahl/Originaldefinition/Einheit vor erster UUID. Originalauftrag/achtPayloadstrings/Flight/lateACK bleiben über Wiederöffnung erhalten. 76 neue Fälle.</x:v>
      </x:c>
      <x:c r="N113" s="3" t="str">
        <x:f>IF(AND(H113="Umgesetzt",I113="Bestanden",OR(J113="Bestanden",J113="Entfällt geprüft"),OR(K113="Bestanden",K113="Entfällt geprüft"),OR(L113="Bestanden",L113="Entfällt geprüft"),M113&lt;&gt;""),"Abgenommen","Offen")</x:f>
        <x:v>Offen</x:v>
      </x:c>
      <x:c r="O113" s="3" t="str">
        <x:v>Individuellen Messfall und echte Darstellung/SQL/RLS fachlich abnehmen. Gemeinsame Erfassungsgrenzen sind Teilnachweis; keine Durchführung/Diagnose/Alarmfreigabe aus ACK.</x:v>
      </x:c>
    </x:row>
    <x:row r="114" ht="155" customHeight="1">
      <x:c r="A114" s="3" t="str">
        <x:v>K-02</x:v>
      </x:c>
      <x:c r="B114" s="3" t="str">
        <x:v>K Vitalwerte und Verlaufsbewertung</x:v>
      </x:c>
      <x:c r="C114" s="3" t="str">
        <x:v>Temperatur</x:v>
      </x:c>
      <x:c r="D114" s="3" t="str">
        <x:v>Wert, °C, Messort, Gerät, Ereigniszeit</x:v>
      </x:c>
      <x:c r="E114" s="3" t="str">
        <x:v>Unterschiedliche Messorte werden im Vergleich sichtbar gehalten.</x:v>
      </x:c>
      <x:c r="F114" s="3" t="str">
        <x:v>K-P01</x:v>
      </x:c>
      <x:c r="G114" s="3" t="str">
        <x:v>B-02, E-01</x:v>
      </x:c>
      <x:c r="H114" s="5" t="str">
        <x:v>Teilweise umgesetzt</x:v>
      </x:c>
      <x:c r="I114" s="5" t="str">
        <x:v>Teilprüfung</x:v>
      </x:c>
      <x:c r="J114" s="5" t="str">
        <x:v>Offen</x:v>
      </x:c>
      <x:c r="K114" s="5" t="str">
        <x:v>Offen</x:v>
      </x:c>
      <x:c r="L114" s="5" t="str">
        <x:v>Offen</x:v>
      </x:c>
      <x:c r="M114" s="5" t="str">
        <x:v>CP150: Native Erfassung prüft aktuelle eigene Auswahl/Originaldefinition/Einheit vor erster UUID. Originalauftrag/achtPayloadstrings/Flight/lateACK bleiben über Wiederöffnung erhalten. 76 neue Fälle.</x:v>
      </x:c>
      <x:c r="N114" s="3" t="str">
        <x:f>IF(AND(H114="Umgesetzt",I114="Bestanden",OR(J114="Bestanden",J114="Entfällt geprüft"),OR(K114="Bestanden",K114="Entfällt geprüft"),OR(L114="Bestanden",L114="Entfällt geprüft"),M114&lt;&gt;""),"Abgenommen","Offen")</x:f>
        <x:v>Offen</x:v>
      </x:c>
      <x:c r="O114" s="3" t="str">
        <x:v>Individuellen Messfall und echte Darstellung/SQL/RLS fachlich abnehmen. Gemeinsame Erfassungsgrenzen sind Teilnachweis; keine Durchführung/Diagnose/Alarmfreigabe aus ACK.</x:v>
      </x:c>
    </x:row>
    <x:row r="115" ht="155" customHeight="1">
      <x:c r="A115" s="3" t="str">
        <x:v>K-03</x:v>
      </x:c>
      <x:c r="B115" s="3" t="str">
        <x:v>K Vitalwerte und Verlaufsbewertung</x:v>
      </x:c>
      <x:c r="C115" s="3" t="str">
        <x:v>Sauerstoffsättigung</x:v>
      </x:c>
      <x:c r="D115" s="3" t="str">
        <x:v>SpO2 in %, Sauerstoffgabe, Gerät, Messqualität, Zeit</x:v>
      </x:c>
      <x:c r="E115" s="3" t="str">
        <x:v>Messwert ohne relevanten Kontext wird nicht als gesicherter Normalbefund markiert.</x:v>
      </x:c>
      <x:c r="F115" s="3" t="str">
        <x:v>K-P01</x:v>
      </x:c>
      <x:c r="G115" s="3" t="str">
        <x:v>B-02, E-01</x:v>
      </x:c>
      <x:c r="H115" s="5" t="str">
        <x:v>Teilweise umgesetzt</x:v>
      </x:c>
      <x:c r="I115" s="5" t="str">
        <x:v>Teilprüfung</x:v>
      </x:c>
      <x:c r="J115" s="5" t="str">
        <x:v>Offen</x:v>
      </x:c>
      <x:c r="K115" s="5" t="str">
        <x:v>Offen</x:v>
      </x:c>
      <x:c r="L115" s="5" t="str">
        <x:v>Offen</x:v>
      </x:c>
      <x:c r="M115" s="5" t="str">
        <x:v>CP150: Native Erfassung prüft aktuelle eigene Auswahl/Originaldefinition/Einheit vor erster UUID. Originalauftrag/achtPayloadstrings/Flight/lateACK bleiben über Wiederöffnung erhalten. 76 neue Fälle.</x:v>
      </x:c>
      <x:c r="N115" s="3" t="str">
        <x:f>IF(AND(H115="Umgesetzt",I115="Bestanden",OR(J115="Bestanden",J115="Entfällt geprüft"),OR(K115="Bestanden",K115="Entfällt geprüft"),OR(L115="Bestanden",L115="Entfällt geprüft"),M115&lt;&gt;""),"Abgenommen","Offen")</x:f>
        <x:v>Offen</x:v>
      </x:c>
      <x:c r="O115" s="3" t="str">
        <x:v>Individuellen Messfall und echte Darstellung/SQL/RLS fachlich abnehmen. Gemeinsame Erfassungsgrenzen sind Teilnachweis; keine Durchführung/Diagnose/Alarmfreigabe aus ACK.</x:v>
      </x:c>
    </x:row>
    <x:row r="116" ht="155" customHeight="1">
      <x:c r="A116" s="3" t="str">
        <x:v>K-04</x:v>
      </x:c>
      <x:c r="B116" s="3" t="str">
        <x:v>K Vitalwerte und Verlaufsbewertung</x:v>
      </x:c>
      <x:c r="C116" s="3" t="str">
        <x:v>Blutzucker</x:v>
      </x:c>
      <x:c r="D116" s="3" t="str">
        <x:v>Wert, mg/dL oder mmol/L, Zeitpunkt, Bezug zur Mahlzeit</x:v>
      </x:c>
      <x:c r="E116" s="3" t="str">
        <x:v>Einheitenwechsel zeigt verwendete Umrechnung und behält Originalwert.</x:v>
      </x:c>
      <x:c r="F116" s="3" t="str">
        <x:v>K-P02</x:v>
      </x:c>
      <x:c r="G116" s="3" t="str">
        <x:v>B-02, E-01</x:v>
      </x:c>
      <x:c r="H116" s="5" t="str">
        <x:v>Teilweise umgesetzt</x:v>
      </x:c>
      <x:c r="I116" s="5" t="str">
        <x:v>Teilprüfung</x:v>
      </x:c>
      <x:c r="J116" s="5" t="str">
        <x:v>Offen</x:v>
      </x:c>
      <x:c r="K116" s="5" t="str">
        <x:v>Offen</x:v>
      </x:c>
      <x:c r="L116" s="5" t="str">
        <x:v>Offen</x:v>
      </x:c>
      <x:c r="M116" s="5" t="str">
        <x:v>CP150: Native Erfassung prüft aktuelle eigene Auswahl/Originaldefinition/Einheit vor erster UUID. Originalauftrag/achtPayloadstrings/Flight/lateACK bleiben über Wiederöffnung erhalten. 76 neue Fälle.</x:v>
      </x:c>
      <x:c r="N116" s="3" t="str">
        <x:f>IF(AND(H116="Umgesetzt",I116="Bestanden",OR(J116="Bestanden",J116="Entfällt geprüft"),OR(K116="Bestanden",K116="Entfällt geprüft"),OR(L116="Bestanden",L116="Entfällt geprüft"),M116&lt;&gt;""),"Abgenommen","Offen")</x:f>
        <x:v>Offen</x:v>
      </x:c>
      <x:c r="O116" s="3" t="str">
        <x:v>Individuellen Messfall und echte Darstellung/SQL/RLS fachlich abnehmen. Gemeinsame Erfassungsgrenzen sind Teilnachweis; keine Durchführung/Diagnose/Alarmfreigabe aus ACK.</x:v>
      </x:c>
    </x:row>
    <x:row r="117" ht="155" customHeight="1">
      <x:c r="A117" s="3" t="str">
        <x:v>K-05</x:v>
      </x:c>
      <x:c r="B117" s="3" t="str">
        <x:v>K Vitalwerte und Verlaufsbewertung</x:v>
      </x:c>
      <x:c r="C117" s="3" t="str">
        <x:v>Gewicht und Körpermaße</x:v>
      </x:c>
      <x:c r="D117" s="3" t="str">
        <x:v>kg, cm, Datum, Messbedingungen, fehlende Messmöglichkeit</x:v>
      </x:c>
      <x:c r="E117" s="3" t="str">
        <x:v>Verlaufsdiagramm verbindet keine unbestätigten oder fremden Messungen.</x:v>
      </x:c>
      <x:c r="F117" s="3" t="str">
        <x:v>K-P02</x:v>
      </x:c>
      <x:c r="G117" s="3" t="str">
        <x:v>B-02, E-01</x:v>
      </x:c>
      <x:c r="H117" s="5" t="str">
        <x:v>Teilweise umgesetzt</x:v>
      </x:c>
      <x:c r="I117" s="5" t="str">
        <x:v>Teilprüfung</x:v>
      </x:c>
      <x:c r="J117" s="5" t="str">
        <x:v>Offen</x:v>
      </x:c>
      <x:c r="K117" s="5" t="str">
        <x:v>Offen</x:v>
      </x:c>
      <x:c r="L117" s="5" t="str">
        <x:v>Offen</x:v>
      </x:c>
      <x:c r="M117" s="5" t="str">
        <x:v>CP150: Native Erfassung prüft aktuelle eigene Auswahl/Originaldefinition/Einheit vor erster UUID. Originalauftrag/achtPayloadstrings/Flight/lateACK bleiben über Wiederöffnung erhalten. 76 neue Fälle.</x:v>
      </x:c>
      <x:c r="N117" s="3" t="str">
        <x:f>IF(AND(H117="Umgesetzt",I117="Bestanden",OR(J117="Bestanden",J117="Entfällt geprüft"),OR(K117="Bestanden",K117="Entfällt geprüft"),OR(L117="Bestanden",L117="Entfällt geprüft"),M117&lt;&gt;""),"Abgenommen","Offen")</x:f>
        <x:v>Offen</x:v>
      </x:c>
      <x:c r="O117" s="3" t="str">
        <x:v>Individuellen Messfall und echte Darstellung/SQL/RLS fachlich abnehmen. Gemeinsame Erfassungsgrenzen sind Teilnachweis; keine Durchführung/Diagnose/Alarmfreigabe aus ACK.</x:v>
      </x:c>
    </x:row>
    <x:row r="118" ht="155" customHeight="1">
      <x:c r="A118" s="3" t="str">
        <x:v>K-06</x:v>
      </x:c>
      <x:c r="B118" s="3" t="str">
        <x:v>K Vitalwerte und Verlaufsbewertung</x:v>
      </x:c>
      <x:c r="C118" s="3" t="str">
        <x:v>Schmerzerfassung</x:v>
      </x:c>
      <x:c r="D118" s="3" t="str">
        <x:v>Instrument, Ort, Intensität, Anlass, Zeit, Selbstauskunft</x:v>
      </x:c>
      <x:c r="E118" s="3" t="str">
        <x:v>Schmerz null Punkte bleibt unterscheidbar von nicht erhoben.</x:v>
      </x:c>
      <x:c r="F118" s="3" t="str">
        <x:v>K-P02</x:v>
      </x:c>
      <x:c r="G118" s="3" t="str">
        <x:v>B-02, E-01</x:v>
      </x:c>
      <x:c r="H118" s="5" t="str">
        <x:v>Teilweise umgesetzt</x:v>
      </x:c>
      <x:c r="I118" s="5" t="str">
        <x:v>Teilprüfung</x:v>
      </x:c>
      <x:c r="J118" s="5" t="str">
        <x:v>Offen</x:v>
      </x:c>
      <x:c r="K118" s="5" t="str">
        <x:v>Offen</x:v>
      </x:c>
      <x:c r="L118" s="5" t="str">
        <x:v>Offen</x:v>
      </x:c>
      <x:c r="M118" s="5" t="str">
        <x:v>CP150: Native Erfassung prüft aktuelle eigene Auswahl/Originaldefinition/Einheit vor erster UUID. Originalauftrag/achtPayloadstrings/Flight/lateACK bleiben über Wiederöffnung erhalten. 76 neue Fälle.</x:v>
      </x:c>
      <x:c r="N118" s="3" t="str">
        <x:f>IF(AND(H118="Umgesetzt",I118="Bestanden",OR(J118="Bestanden",J118="Entfällt geprüft"),OR(K118="Bestanden",K118="Entfällt geprüft"),OR(L118="Bestanden",L118="Entfällt geprüft"),M118&lt;&gt;""),"Abgenommen","Offen")</x:f>
        <x:v>Offen</x:v>
      </x:c>
      <x:c r="O118" s="3" t="str">
        <x:v>Individuellen Messfall und echte Darstellung/SQL/RLS fachlich abnehmen. Gemeinsame Erfassungsgrenzen sind Teilnachweis; keine Durchführung/Diagnose/Alarmfreigabe aus ACK.</x:v>
      </x:c>
    </x:row>
    <x:row r="119" ht="155" customHeight="1">
      <x:c r="A119" s="3" t="str">
        <x:v>K-07</x:v>
      </x:c>
      <x:c r="B119" s="3" t="str">
        <x:v>K Vitalwerte und Verlaufsbewertung</x:v>
      </x:c>
      <x:c r="C119" s="3" t="str">
        <x:v>Patientenspezifische Grenzen</x:v>
      </x:c>
      <x:c r="D119" s="3" t="str">
        <x:v>Quelle, Grenzwert, Kontext, Gültigkeit, verantwortliche Freigabe</x:v>
      </x:c>
      <x:c r="E119" s="3" t="str">
        <x:v>Keine pauschalen Grenzwerte werden als individuelle ärztliche Anweisung ausgegeben.</x:v>
      </x:c>
      <x:c r="F119" s="3" t="str">
        <x:v>K-P03</x:v>
      </x:c>
      <x:c r="G119" s="3" t="str">
        <x:v>B-02, E-01</x:v>
      </x:c>
      <x:c r="H119" s="5" t="str">
        <x:v>Teilweise umgesetzt</x:v>
      </x:c>
      <x:c r="I119" s="5" t="str">
        <x:v>Teilprüfung</x:v>
      </x:c>
      <x:c r="J119" s="5" t="str">
        <x:v>Offen</x:v>
      </x:c>
      <x:c r="K119" s="5" t="str">
        <x:v>Offen</x:v>
      </x:c>
      <x:c r="L119" s="5" t="str">
        <x:v>Offen</x:v>
      </x:c>
      <x:c r="M119" s="5" t="str">
        <x:v>Checkpoint 11: Web-Vitalerfassung und ergänzende Nachkontrollen, tatsächliche Zeit, Konfigurationsstand und identische Anfragewiederholung lokal implementiert; 28 Domänenprüfungen bestanden. Kein realer SDK-/SQL-/Browsernachweis. Siehe docs/audit/ambulant-fortsetzung-2026-10-08.md und checks/ambulant-node-checkpoint11-2026-10-08.log.</x:v>
      </x:c>
      <x:c r="N119" s="3" t="str">
        <x:f>IF(AND(H119="Umgesetzt",I119="Bestanden",OR(J119="Bestanden",J119="Entfällt geprüft"),OR(K119="Bestanden",K119="Entfällt geprüft"),OR(L119="Bestanden",L119="Entfällt geprüft"),M119&lt;&gt;""),"Abgenommen","Offen")</x:f>
        <x:v>Offen</x:v>
      </x:c>
      <x:c r="O119" s="3" t="str">
        <x:v>Messkontext, vollständige Verläufe, Korrekturen und Eskalationsbearbeitung je Abnahmefall ergänzen; alte Lese-/Schreibpfade und Konfigurationsrechte prüfen. Gesamt-Typprüfung sowie echte SQL/RLS-/SDK- und breite/schmale Browserprüfung nachweisen; den ursprünglichen Abnahmefall separat erfüllen.</x:v>
      </x:c>
    </x:row>
    <x:row r="120" ht="155" customHeight="1">
      <x:c r="A120" s="3" t="str">
        <x:v>K-08</x:v>
      </x:c>
      <x:c r="B120" s="3" t="str">
        <x:v>K Vitalwerte und Verlaufsbewertung</x:v>
      </x:c>
      <x:c r="C120" s="3" t="str">
        <x:v>Auffälligkeit bearbeiten</x:v>
      </x:c>
      <x:c r="D120" s="3" t="str">
        <x:v>Messung, Bestätigung, Reaktion, Ansprechpartner, Kontrolle</x:v>
      </x:c>
      <x:c r="E120" s="3" t="str">
        <x:v>Alarm verschwindet erst nach dokumentierter Bearbeitung oder begründeter Entscheidung.</x:v>
      </x:c>
      <x:c r="F120" s="3" t="str">
        <x:v>K-P03</x:v>
      </x:c>
      <x:c r="G120" s="3" t="str">
        <x:v>B-02, E-01</x:v>
      </x:c>
      <x:c r="H120" s="5" t="str">
        <x:v>Teilweise umgesetzt</x:v>
      </x:c>
      <x:c r="I120" s="5" t="str">
        <x:v>Teilprüfung</x:v>
      </x:c>
      <x:c r="J120" s="5" t="str">
        <x:v>Offen</x:v>
      </x:c>
      <x:c r="K120" s="5" t="str">
        <x:v>Offen</x:v>
      </x:c>
      <x:c r="L120" s="5" t="str">
        <x:v>Offen</x:v>
      </x:c>
      <x:c r="M120" s="5" t="str">
        <x:v>CP156: Eigene Nachkontrollanfrage mit nativer UUID und sieben Originalfeldern. Unklarer Transport bleibt gesperrt. 93 neue Fälle, 6598 Tests, native Prüfung 153/20.</x:v>
      </x:c>
      <x:c r="N120" s="3" t="str">
        <x:f>IF(AND(H120="Umgesetzt",I120="Bestanden",OR(J120="Bestanden",J120="Entfällt geprüft"),OR(K120="Bestanden",K120="Entfällt geprüft"),OR(L120="Bestanden",L120="Entfällt geprüft"),M120&lt;&gt;""),"Abgenommen","Offen")</x:f>
        <x:v>Offen</x:v>
      </x:c>
      <x:c r="O120" s="3" t="str">
        <x:v>Reaktion, Verantwortung und klinische Entscheidung tatsächlich abnehmen. Native Bestätigung ist kein Aufgabenabschluss. Browser/Layout, SQL/RLS und Pflege/Recht offen.</x:v>
      </x:c>
    </x:row>
    <x:row r="121" ht="155" customHeight="1">
      <x:c r="A121" s="3" t="str">
        <x:v>K-09</x:v>
      </x:c>
      <x:c r="B121" s="3" t="str">
        <x:v>K Vitalwerte und Verlaufsbewertung</x:v>
      </x:c>
      <x:c r="C121" s="3" t="str">
        <x:v>Verlaufsdarstellung</x:v>
      </x:c>
      <x:c r="D121" s="3" t="str">
        <x:v>Zeitraum, Einheiten, Lücken, Korrekturen, Filter</x:v>
      </x:c>
      <x:c r="E121" s="3" t="str">
        <x:v>Messlücken und nachträgliche Korrekturen werden nicht verborgen.</x:v>
      </x:c>
      <x:c r="F121" s="3" t="str">
        <x:v>K-P03</x:v>
      </x:c>
      <x:c r="G121" s="3" t="str">
        <x:v>B-02, E-01</x:v>
      </x:c>
      <x:c r="H121" s="5" t="str">
        <x:v>Teilweise umgesetzt</x:v>
      </x:c>
      <x:c r="I121" s="5" t="str">
        <x:v>Teilprüfung</x:v>
      </x:c>
      <x:c r="J121" s="5" t="str">
        <x:v>Offen</x:v>
      </x:c>
      <x:c r="K121" s="5" t="str">
        <x:v>Offen</x:v>
      </x:c>
      <x:c r="L121" s="5" t="str">
        <x:v>Offen</x:v>
      </x:c>
      <x:c r="M121" s="5" t="str">
        <x:v>CP169 zeigt Originalpunkte, Korrekturmarker und undatierte Belege. CP173 ergänzt bewusste inklusive Originalzeitraumwahl mit Zone/µs und exakte Abstände gelieferter Positionen; stabile eigene Captures und getrennte Child-/Periodengeneration. 59 neue Fälle, 7995 Tests, native Komposition 161/15. Ganze Liste/CSV unverändert; keine Sollmesslücken- oder klinische Freigabe.</x:v>
      </x:c>
      <x:c r="N121" s="3" t="str">
        <x:f>IF(AND(H121="Umgesetzt",I121="Bestanden",OR(J121="Bestanden",J121="Entfällt geprüft"),OR(K121="Bestanden",K121="Entfällt geprüft"),OR(L121="Bestanden",L121="Entfällt geprüft"),M121&lt;&gt;""),"Abgenommen","Offen")</x:f>
        <x:v>Offen</x:v>
      </x:c>
      <x:c r="O121" s="3" t="str">
        <x:v>Vereinbarte Solltermine und echte Messlücken separat mit nativen Auftrags-/Pflegefallkennungen nachweisen. Tatsächliche React-/Keyboard-/Screenreader-/breite/schmale Diagrammansicht, Browserdownload, aktiver Pflegefall, SQL/RLS sowie Pflege und Recht offen. Beobachtete Zeitabstände bestätigen keine fehlenden Sollmessungen.</x:v>
      </x:c>
    </x:row>
    <x:row r="122" ht="155" customHeight="1">
      <x:c r="A122" s="3" t="str">
        <x:v>K-10</x:v>
      </x:c>
      <x:c r="B122" s="3" t="str">
        <x:v>K Vitalwerte und Verlaufsbewertung</x:v>
      </x:c>
      <x:c r="C122" s="3" t="str">
        <x:v>Weitere Beobachtungen</x:v>
      </x:c>
      <x:c r="D122" s="3" t="str">
        <x:v>Atmung, Bewusstsein, Ödeme, Symptome, Kontext, Quelle</x:v>
      </x:c>
      <x:c r="E122" s="3" t="str">
        <x:v>Beobachtung wird von Messung und gesicherter Diagnose unterschieden.</x:v>
      </x:c>
      <x:c r="F122" s="3" t="str">
        <x:v>K-P04</x:v>
      </x:c>
      <x:c r="G122" s="3" t="str">
        <x:v>B-02, E-01</x:v>
      </x:c>
      <x:c r="H122" s="5" t="str">
        <x:v>Teilweise umgesetzt</x:v>
      </x:c>
      <x:c r="I122" s="5" t="str">
        <x:v>Teilprüfung</x:v>
      </x:c>
      <x:c r="J122" s="5" t="str">
        <x:v>Offen</x:v>
      </x:c>
      <x:c r="K122" s="5" t="str">
        <x:v>Offen</x:v>
      </x:c>
      <x:c r="L122" s="5" t="str">
        <x:v>Offen</x:v>
      </x:c>
      <x:c r="M122" s="5" t="str">
        <x:v>Checkpoint 11: Web-Vitalerfassung und ergänzende Nachkontrollen, tatsächliche Zeit, Konfigurationsstand und identische Anfragewiederholung lokal implementiert; 28 Domänenprüfungen bestanden. Kein realer SDK-/SQL-/Browsernachweis. Siehe docs/audit/ambulant-fortsetzung-2026-10-08.md und checks/ambulant-node-checkpoint11-2026-10-08.log.</x:v>
      </x:c>
      <x:c r="N122" s="3" t="str">
        <x:f>IF(AND(H122="Umgesetzt",I122="Bestanden",OR(J122="Bestanden",J122="Entfällt geprüft"),OR(K122="Bestanden",K122="Entfällt geprüft"),OR(L122="Bestanden",L122="Entfällt geprüft"),M122&lt;&gt;""),"Abgenommen","Offen")</x:f>
        <x:v>Offen</x:v>
      </x:c>
      <x:c r="O122" s="3" t="str">
        <x:v>Messkontext, vollständige Verläufe, Korrekturen und Eskalationsbearbeitung je Abnahmefall ergänzen; alte Lese-/Schreibpfade und Konfigurationsrechte prüfen. Gesamt-Typprüfung sowie echte SQL/RLS-/SDK- und breite/schmale Browserprüfung nachweisen; den ursprünglichen Abnahmefall separat erfüllen.</x:v>
      </x:c>
    </x:row>
    <x:row r="123" ht="155" customHeight="1">
      <x:c r="A123" s="3" t="str">
        <x:v>K-11</x:v>
      </x:c>
      <x:c r="B123" s="3" t="str">
        <x:v>K Vitalwerte und Verlaufsbewertung</x:v>
      </x:c>
      <x:c r="C123" s="3" t="str">
        <x:v>Messfehler korrigieren</x:v>
      </x:c>
      <x:c r="D123" s="3" t="str">
        <x:v>Originalwert, Korrektur, Grund, Person, Zeitpunkt</x:v>
      </x:c>
      <x:c r="E123" s="3" t="str">
        <x:v>Diagramm und Export kennzeichnen korrigierten Eintrag nachvollziehbar.</x:v>
      </x:c>
      <x:c r="F123" s="3" t="str">
        <x:v>K-P04</x:v>
      </x:c>
      <x:c r="G123" s="3" t="str">
        <x:v>B-02, E-01</x:v>
      </x:c>
      <x:c r="H123" s="5" t="str">
        <x:v>Teilweise umgesetzt</x:v>
      </x:c>
      <x:c r="I123" s="5" t="str">
        <x:v>Teilprüfung</x:v>
      </x:c>
      <x:c r="J123" s="5" t="str">
        <x:v>Offen</x:v>
      </x:c>
      <x:c r="K123" s="5" t="str">
        <x:v>Offen</x:v>
      </x:c>
      <x:c r="L123" s="5" t="str">
        <x:v>Offen</x:v>
      </x:c>
      <x:c r="M123" s="5" t="str">
        <x:v>CP166: Vitalwerte-Liste bindet Clientwahl, Originalhistorien und CSV an aktuelle eigene Lesebelege. Alte Aktionen gesperrt. 65 neue Fälle, 7524 Tests. Diagramm und Abnahmen offen.</x:v>
      </x:c>
      <x:c r="N123" s="3" t="str">
        <x:f>IF(AND(H123="Umgesetzt",I123="Bestanden",OR(J123="Bestanden",J123="Entfällt geprüft"),OR(K123="Bestanden",K123="Entfällt geprüft"),OR(L123="Bestanden",L123="Entfällt geprüft"),M123&lt;&gt;""),"Abgenommen","Offen")</x:f>
        <x:v>Offen</x:v>
      </x:c>
      <x:c r="O123" s="3" t="str">
        <x:v>Diagramm und tatsächlichen Browserdownload prüfen. Originale, Korrekturen, Messlücken und Zeitarten getrennt zeigen; aktive Pflegefälle, SQL/RLS, Layout sowie Pflege und Recht nachweisen.</x:v>
      </x:c>
    </x:row>
    <x:row r="124" ht="44" customHeight="1">
      <x:c r="A124" s="3" t="str">
        <x:v>K-12</x:v>
      </x:c>
      <x:c r="B124" s="3" t="str">
        <x:v>K Vitalwerte und Verlaufsbewertung</x:v>
      </x:c>
      <x:c r="C124" s="3" t="str">
        <x:v>Messgerät und Kalibrierung</x:v>
      </x:c>
      <x:c r="D124" s="3" t="str">
        <x:v>Gerät, Wartung, Messverfahren, bekannte Einschränkung</x:v>
      </x:c>
      <x:c r="E124" s="3" t="str">
        <x:v>Ungeeignetes Gerät und unklare Messqualität bleiben sichtbar.</x:v>
      </x:c>
      <x:c r="F124" s="3" t="str">
        <x:v>K-P04</x:v>
      </x:c>
      <x:c r="G124" s="3" t="str">
        <x:v>B-02, E-01</x:v>
      </x:c>
      <x:c r="H124" s="5" t="str">
        <x:v>Bestand zu prüfen</x:v>
      </x:c>
      <x:c r="I124" s="5" t="str">
        <x:v>Offen</x:v>
      </x:c>
      <x:c r="J124" s="5" t="str">
        <x:v>Offen</x:v>
      </x:c>
      <x:c r="K124" s="5" t="str">
        <x:v>Offen</x:v>
      </x:c>
      <x:c r="L124" s="5" t="str">
        <x:v>Offen</x:v>
      </x:c>
      <x:c r="M124" s="5" t="str"/>
      <x:c r="N124" s="3" t="str">
        <x:f>IF(AND(H124="Umgesetzt",I124="Bestanden",OR(J124="Bestanden",J124="Entfällt geprüft"),OR(K124="Bestanden",K124="Entfällt geprüft"),OR(L124="Bestanden",L124="Entfällt geprüft"),M124&lt;&gt;""),"Abgenommen","Offen")</x:f>
        <x:v>Offen</x:v>
      </x:c>
      <x:c r="O124" s="3" t="str">
        <x:v>Bestehenden Ablauf für „Messgerät und Kalibrierung“ prüfen. Fehlende Datenfelder und Einzelfälle ergänzen, anschließend den genannten Abnahmefall nachweisen.</x:v>
      </x:c>
    </x:row>
    <x:row r="125" ht="44" customHeight="1">
      <x:c r="A125" s="3" t="str">
        <x:v>L-01</x:v>
      </x:c>
      <x:c r="B125" s="3" t="str">
        <x:v>L Atmung und außerklinische Intensivpflege</x:v>
      </x:c>
      <x:c r="C125" s="3" t="str">
        <x:v>Sauerstofftherapie</x:v>
      </x:c>
      <x:c r="D125" s="3" t="str">
        <x:v>Ärztlicher Plan, Fluss, Applikation, Gerätebezug, Verlauf</x:v>
      </x:c>
      <x:c r="E125" s="3" t="str">
        <x:v>Änderung der Sauerstoffgabe ist zeitlich und fachlich nachvollziehbar.</x:v>
      </x:c>
      <x:c r="F125" s="3" t="str">
        <x:v>L-P01</x:v>
      </x:c>
      <x:c r="G125" s="3" t="str">
        <x:v>I-01, Q-02</x:v>
      </x:c>
      <x:c r="H125" s="5" t="str">
        <x:v>Bestand zu prüfen</x:v>
      </x:c>
      <x:c r="I125" s="5" t="str">
        <x:v>Offen</x:v>
      </x:c>
      <x:c r="J125" s="5" t="str">
        <x:v>Offen</x:v>
      </x:c>
      <x:c r="K125" s="5" t="str">
        <x:v>Offen</x:v>
      </x:c>
      <x:c r="L125" s="5" t="str">
        <x:v>Offen</x:v>
      </x:c>
      <x:c r="M125" s="5" t="str"/>
      <x:c r="N125" s="3" t="str">
        <x:f>IF(AND(H125="Umgesetzt",I125="Bestanden",OR(J125="Bestanden",J125="Entfällt geprüft"),OR(K125="Bestanden",K125="Entfällt geprüft"),OR(L125="Bestanden",L125="Entfällt geprüft"),M125&lt;&gt;""),"Abgenommen","Offen")</x:f>
        <x:v>Offen</x:v>
      </x:c>
      <x:c r="O125" s="3" t="str">
        <x:v>Bestehenden Ablauf für „Sauerstofftherapie“ prüfen. Fehlende Datenfelder und Einzelfälle ergänzen, anschließend den genannten Abnahmefall nachweisen.</x:v>
      </x:c>
    </x:row>
    <x:row r="126" ht="44" customHeight="1">
      <x:c r="A126" s="3" t="str">
        <x:v>L-02</x:v>
      </x:c>
      <x:c r="B126" s="3" t="str">
        <x:v>L Atmung und außerklinische Intensivpflege</x:v>
      </x:c>
      <x:c r="C126" s="3" t="str">
        <x:v>Tracheostomaversorgung</x:v>
      </x:c>
      <x:c r="D126" s="3" t="str">
        <x:v>Kanülentyp, Versorgung, Wechselgrundlage, Haut, Sekret</x:v>
      </x:c>
      <x:c r="E126" s="3" t="str">
        <x:v>Aktuelle Versorgung und besondere Risiken sind sofort erreichbar.</x:v>
      </x:c>
      <x:c r="F126" s="3" t="str">
        <x:v>L-P01</x:v>
      </x:c>
      <x:c r="G126" s="3" t="str">
        <x:v>I-01, Q-02</x:v>
      </x:c>
      <x:c r="H126" s="5" t="str">
        <x:v>Bestand zu prüfen</x:v>
      </x:c>
      <x:c r="I126" s="5" t="str">
        <x:v>Offen</x:v>
      </x:c>
      <x:c r="J126" s="5" t="str">
        <x:v>Offen</x:v>
      </x:c>
      <x:c r="K126" s="5" t="str">
        <x:v>Offen</x:v>
      </x:c>
      <x:c r="L126" s="5" t="str">
        <x:v>Offen</x:v>
      </x:c>
      <x:c r="M126" s="5" t="str"/>
      <x:c r="N126" s="3" t="str">
        <x:f>IF(AND(H126="Umgesetzt",I126="Bestanden",OR(J126="Bestanden",J126="Entfällt geprüft"),OR(K126="Bestanden",K126="Entfällt geprüft"),OR(L126="Bestanden",L126="Entfällt geprüft"),M126&lt;&gt;""),"Abgenommen","Offen")</x:f>
        <x:v>Offen</x:v>
      </x:c>
      <x:c r="O126" s="3" t="str">
        <x:v>Bestehenden Ablauf für „Tracheostomaversorgung“ prüfen. Fehlende Datenfelder und Einzelfälle ergänzen, anschließend den genannten Abnahmefall nachweisen.</x:v>
      </x:c>
    </x:row>
    <x:row r="127" ht="44" customHeight="1">
      <x:c r="A127" s="3" t="str">
        <x:v>L-03</x:v>
      </x:c>
      <x:c r="B127" s="3" t="str">
        <x:v>L Atmung und außerklinische Intensivpflege</x:v>
      </x:c>
      <x:c r="C127" s="3" t="str">
        <x:v>Absaugung</x:v>
      </x:c>
      <x:c r="D127" s="3" t="str">
        <x:v>Anlass, Weg, Sekretbeobachtung, Durchführung, Verträglichkeit</x:v>
      </x:c>
      <x:c r="E127" s="3" t="str">
        <x:v>Beobachtete Reaktion erzeugt erforderliche Folgedokumentation.</x:v>
      </x:c>
      <x:c r="F127" s="3" t="str">
        <x:v>L-P01</x:v>
      </x:c>
      <x:c r="G127" s="3" t="str">
        <x:v>I-01, Q-02</x:v>
      </x:c>
      <x:c r="H127" s="5" t="str">
        <x:v>Bestand zu prüfen</x:v>
      </x:c>
      <x:c r="I127" s="5" t="str">
        <x:v>Offen</x:v>
      </x:c>
      <x:c r="J127" s="5" t="str">
        <x:v>Offen</x:v>
      </x:c>
      <x:c r="K127" s="5" t="str">
        <x:v>Offen</x:v>
      </x:c>
      <x:c r="L127" s="5" t="str">
        <x:v>Offen</x:v>
      </x:c>
      <x:c r="M127" s="5" t="str"/>
      <x:c r="N127" s="3" t="str">
        <x:f>IF(AND(H127="Umgesetzt",I127="Bestanden",OR(J127="Bestanden",J127="Entfällt geprüft"),OR(K127="Bestanden",K127="Entfällt geprüft"),OR(L127="Bestanden",L127="Entfällt geprüft"),M127&lt;&gt;""),"Abgenommen","Offen")</x:f>
        <x:v>Offen</x:v>
      </x:c>
      <x:c r="O127" s="3" t="str">
        <x:v>Bestehenden Ablauf für „Absaugung“ prüfen. Fehlende Datenfelder und Einzelfälle ergänzen, anschließend den genannten Abnahmefall nachweisen.</x:v>
      </x:c>
    </x:row>
    <x:row r="128" ht="44" customHeight="1">
      <x:c r="A128" s="3" t="str">
        <x:v>L-04</x:v>
      </x:c>
      <x:c r="B128" s="3" t="str">
        <x:v>L Atmung und außerklinische Intensivpflege</x:v>
      </x:c>
      <x:c r="C128" s="3" t="str">
        <x:v>Beatmungsparameter</x:v>
      </x:c>
      <x:c r="D128" s="3" t="str">
        <x:v>Gerät, Modus, freigegebene Einstellungen, Istwerte, Zeit</x:v>
      </x:c>
      <x:c r="E128" s="3" t="str">
        <x:v>Istwerte werden nicht stillschweigend als ärztliche Sollwerte übernommen.</x:v>
      </x:c>
      <x:c r="F128" s="3" t="str">
        <x:v>L-P02</x:v>
      </x:c>
      <x:c r="G128" s="3" t="str">
        <x:v>I-01, Q-02</x:v>
      </x:c>
      <x:c r="H128" s="5" t="str">
        <x:v>Bestand zu prüfen</x:v>
      </x:c>
      <x:c r="I128" s="5" t="str">
        <x:v>Offen</x:v>
      </x:c>
      <x:c r="J128" s="5" t="str">
        <x:v>Offen</x:v>
      </x:c>
      <x:c r="K128" s="5" t="str">
        <x:v>Offen</x:v>
      </x:c>
      <x:c r="L128" s="5" t="str">
        <x:v>Offen</x:v>
      </x:c>
      <x:c r="M128" s="5" t="str"/>
      <x:c r="N128" s="3" t="str">
        <x:f>IF(AND(H128="Umgesetzt",I128="Bestanden",OR(J128="Bestanden",J128="Entfällt geprüft"),OR(K128="Bestanden",K128="Entfällt geprüft"),OR(L128="Bestanden",L128="Entfällt geprüft"),M128&lt;&gt;""),"Abgenommen","Offen")</x:f>
        <x:v>Offen</x:v>
      </x:c>
      <x:c r="O128" s="3" t="str">
        <x:v>Bestehenden Ablauf für „Beatmungsparameter“ prüfen. Fehlende Datenfelder und Einzelfälle ergänzen, anschließend den genannten Abnahmefall nachweisen.</x:v>
      </x:c>
    </x:row>
    <x:row r="129" ht="44" customHeight="1">
      <x:c r="A129" s="3" t="str">
        <x:v>L-05</x:v>
      </x:c>
      <x:c r="B129" s="3" t="str">
        <x:v>L Atmung und außerklinische Intensivpflege</x:v>
      </x:c>
      <x:c r="C129" s="3" t="str">
        <x:v>Gerätealarme</x:v>
      </x:c>
      <x:c r="D129" s="3" t="str">
        <x:v>Alarm, Beginn, Reaktion, Ursache, Lösung, Kontrollzeit</x:v>
      </x:c>
      <x:c r="E129" s="3" t="str">
        <x:v>Quittierung allein zählt nicht als fachlicher Abschluss.</x:v>
      </x:c>
      <x:c r="F129" s="3" t="str">
        <x:v>L-P02</x:v>
      </x:c>
      <x:c r="G129" s="3" t="str">
        <x:v>I-01, Q-02</x:v>
      </x:c>
      <x:c r="H129" s="5" t="str">
        <x:v>Bestand zu prüfen</x:v>
      </x:c>
      <x:c r="I129" s="5" t="str">
        <x:v>Offen</x:v>
      </x:c>
      <x:c r="J129" s="5" t="str">
        <x:v>Offen</x:v>
      </x:c>
      <x:c r="K129" s="5" t="str">
        <x:v>Offen</x:v>
      </x:c>
      <x:c r="L129" s="5" t="str">
        <x:v>Offen</x:v>
      </x:c>
      <x:c r="M129" s="5" t="str"/>
      <x:c r="N129" s="3" t="str">
        <x:f>IF(AND(H129="Umgesetzt",I129="Bestanden",OR(J129="Bestanden",J129="Entfällt geprüft"),OR(K129="Bestanden",K129="Entfällt geprüft"),OR(L129="Bestanden",L129="Entfällt geprüft"),M129&lt;&gt;""),"Abgenommen","Offen")</x:f>
        <x:v>Offen</x:v>
      </x:c>
      <x:c r="O129" s="3" t="str">
        <x:v>Bestehenden Ablauf für „Gerätealarme“ prüfen. Fehlende Datenfelder und Einzelfälle ergänzen, anschließend den genannten Abnahmefall nachweisen.</x:v>
      </x:c>
    </x:row>
    <x:row r="130" ht="44" customHeight="1">
      <x:c r="A130" s="3" t="str">
        <x:v>L-06</x:v>
      </x:c>
      <x:c r="B130" s="3" t="str">
        <x:v>L Atmung und außerklinische Intensivpflege</x:v>
      </x:c>
      <x:c r="C130" s="3" t="str">
        <x:v>Notfallausstattung</x:v>
      </x:c>
      <x:c r="D130" s="3" t="str">
        <x:v>Gerät, Ersatz, Verbrauchsmaterial, Funktionsprüfung, Zuständigkeit</x:v>
      </x:c>
      <x:c r="E130" s="3" t="str">
        <x:v>Fehlende Ausstattung bleibt bis zur bestätigten Behebung offen.</x:v>
      </x:c>
      <x:c r="F130" s="3" t="str">
        <x:v>L-P02</x:v>
      </x:c>
      <x:c r="G130" s="3" t="str">
        <x:v>I-01, Q-02</x:v>
      </x:c>
      <x:c r="H130" s="5" t="str">
        <x:v>Bestand zu prüfen</x:v>
      </x:c>
      <x:c r="I130" s="5" t="str">
        <x:v>Offen</x:v>
      </x:c>
      <x:c r="J130" s="5" t="str">
        <x:v>Offen</x:v>
      </x:c>
      <x:c r="K130" s="5" t="str">
        <x:v>Offen</x:v>
      </x:c>
      <x:c r="L130" s="5" t="str">
        <x:v>Offen</x:v>
      </x:c>
      <x:c r="M130" s="5" t="str"/>
      <x:c r="N130" s="3" t="str">
        <x:f>IF(AND(H130="Umgesetzt",I130="Bestanden",OR(J130="Bestanden",J130="Entfällt geprüft"),OR(K130="Bestanden",K130="Entfällt geprüft"),OR(L130="Bestanden",L130="Entfällt geprüft"),M130&lt;&gt;""),"Abgenommen","Offen")</x:f>
        <x:v>Offen</x:v>
      </x:c>
      <x:c r="O130" s="3" t="str">
        <x:v>Bestehenden Ablauf für „Notfallausstattung“ prüfen. Fehlende Datenfelder und Einzelfälle ergänzen, anschließend den genannten Abnahmefall nachweisen.</x:v>
      </x:c>
    </x:row>
    <x:row r="131" ht="44" customHeight="1">
      <x:c r="A131" s="3" t="str">
        <x:v>L-07</x:v>
      </x:c>
      <x:c r="B131" s="3" t="str">
        <x:v>L Atmung und außerklinische Intensivpflege</x:v>
      </x:c>
      <x:c r="C131" s="3" t="str">
        <x:v>Intensivpflege-Qualifikation</x:v>
      </x:c>
      <x:c r="D131" s="3" t="str">
        <x:v>Anforderungsprofil, Nachweis, Gültigkeit, Einweisung</x:v>
      </x:c>
      <x:c r="E131" s="3" t="str">
        <x:v>Ungeeignete Zuordnung wird vor Dienstfreigabe erkannt.</x:v>
      </x:c>
      <x:c r="F131" s="3" t="str">
        <x:v>L-P03</x:v>
      </x:c>
      <x:c r="G131" s="3" t="str">
        <x:v>I-01, Q-02</x:v>
      </x:c>
      <x:c r="H131" s="5" t="str">
        <x:v>Bestand zu prüfen</x:v>
      </x:c>
      <x:c r="I131" s="5" t="str">
        <x:v>Offen</x:v>
      </x:c>
      <x:c r="J131" s="5" t="str">
        <x:v>Offen</x:v>
      </x:c>
      <x:c r="K131" s="5" t="str">
        <x:v>Offen</x:v>
      </x:c>
      <x:c r="L131" s="5" t="str">
        <x:v>Offen</x:v>
      </x:c>
      <x:c r="M131" s="5" t="str"/>
      <x:c r="N131" s="3" t="str">
        <x:f>IF(AND(H131="Umgesetzt",I131="Bestanden",OR(J131="Bestanden",J131="Entfällt geprüft"),OR(K131="Bestanden",K131="Entfällt geprüft"),OR(L131="Bestanden",L131="Entfällt geprüft"),M131&lt;&gt;""),"Abgenommen","Offen")</x:f>
        <x:v>Offen</x:v>
      </x:c>
      <x:c r="O131" s="3" t="str">
        <x:v>Bestehenden Ablauf für „Intensivpflege-Qualifikation“ prüfen. Fehlende Datenfelder und Einzelfälle ergänzen, anschließend den genannten Abnahmefall nachweisen.</x:v>
      </x:c>
    </x:row>
    <x:row r="132" ht="44" customHeight="1">
      <x:c r="A132" s="3" t="str">
        <x:v>L-08</x:v>
      </x:c>
      <x:c r="B132" s="3" t="str">
        <x:v>L Atmung und außerklinische Intensivpflege</x:v>
      </x:c>
      <x:c r="C132" s="3" t="str">
        <x:v>Spezialisierter Intensivpflegeumfang</x:v>
      </x:c>
      <x:c r="D132" s="3" t="str">
        <x:v>Versorgungsprofil, Verordnung, Überwachung, Übergabe</x:v>
      </x:c>
      <x:c r="E132" s="3" t="str">
        <x:v>Fachlich gesonderte Abnahme verhindert eine Freigabe allein aufgrund allgemeiner Pflegefunktionen.</x:v>
      </x:c>
      <x:c r="F132" s="3" t="str">
        <x:v>L-P03</x:v>
      </x:c>
      <x:c r="G132" s="3" t="str">
        <x:v>I-01, Q-02</x:v>
      </x:c>
      <x:c r="H132" s="5" t="str">
        <x:v>Bestand zu prüfen</x:v>
      </x:c>
      <x:c r="I132" s="5" t="str">
        <x:v>Offen</x:v>
      </x:c>
      <x:c r="J132" s="5" t="str">
        <x:v>Offen</x:v>
      </x:c>
      <x:c r="K132" s="5" t="str">
        <x:v>Offen</x:v>
      </x:c>
      <x:c r="L132" s="5" t="str">
        <x:v>Offen</x:v>
      </x:c>
      <x:c r="M132" s="5" t="str"/>
      <x:c r="N132" s="3" t="str">
        <x:f>IF(AND(H132="Umgesetzt",I132="Bestanden",OR(J132="Bestanden",J132="Entfällt geprüft"),OR(K132="Bestanden",K132="Entfällt geprüft"),OR(L132="Bestanden",L132="Entfällt geprüft"),M132&lt;&gt;""),"Abgenommen","Offen")</x:f>
        <x:v>Offen</x:v>
      </x:c>
      <x:c r="O132" s="3" t="str">
        <x:v>Bestehenden Ablauf für „Spezialisierter Intensivpflegeumfang“ prüfen. Fehlende Datenfelder und Einzelfälle ergänzen, anschließend den genannten Abnahmefall nachweisen.</x:v>
      </x:c>
    </x:row>
    <x:row r="133" ht="44" customHeight="1">
      <x:c r="A133" s="3" t="str">
        <x:v>M-01</x:v>
      </x:c>
      <x:c r="B133" s="3" t="str">
        <x:v>M Demenz und psychische Gesundheit</x:v>
      </x:c>
      <x:c r="C133" s="3" t="str">
        <x:v>Personenzentrierte Biografie</x:v>
      </x:c>
      <x:c r="D133" s="3" t="str">
        <x:v>Gewohnheiten, Interessen, hilfreiche Ansprache, Quelle</x:v>
      </x:c>
      <x:c r="E133" s="3" t="str">
        <x:v>Nicht erforderliche intime Angaben werden nicht routinemäßig erhoben.</x:v>
      </x:c>
      <x:c r="F133" s="3" t="str">
        <x:v>M-P01</x:v>
      </x:c>
      <x:c r="G133" s="3" t="str">
        <x:v>C-02, D-02</x:v>
      </x:c>
      <x:c r="H133" s="5" t="str">
        <x:v>Teilweise umgesetzt</x:v>
      </x:c>
      <x:c r="I133" s="5" t="str">
        <x:v>Teilprüfung</x:v>
      </x:c>
      <x:c r="J133" s="5" t="str">
        <x:v>Offen</x:v>
      </x:c>
      <x:c r="K133" s="5" t="str">
        <x:v>Offen</x:v>
      </x:c>
      <x:c r="L133" s="5" t="str">
        <x:v>Offen</x:v>
      </x:c>
      <x:c r="M133" s="5" t="str">
        <x:v>CP153 bewahrt im privaten Narrativpanel Biografie, Ressourcen, Wünsche und Informationsquellen. CP171 ergänzt feste eigene SIS-Kontextprüfung und private Mintzustände; 45 neue Fälle, 7881 Tests. Erforderlichkeit/Feldrechte und Fachabnahmen offen.</x:v>
      </x:c>
      <x:c r="N133" s="3" t="str">
        <x:f>IF(AND(H133="Umgesetzt",I133="Bestanden",OR(J133="Bestanden",J133="Entfällt geprüft"),OR(K133="Bestanden",K133="Entfällt geprüft"),OR(L133="Bestanden",L133="Entfällt geprüft"),M133&lt;&gt;""),"Abgenommen","Offen")</x:f>
        <x:v>Offen</x:v>
      </x:c>
      <x:c r="O133" s="3" t="str">
        <x:v>Narrativverbraucher an feste private Originallookups binden; Erforderlichkeit intimer Angaben, patientenspezifische Feldrechte und echten Fachzugang prüfen. Host/React/Layout, SQL/RLS, Pflege und Recht offen.</x:v>
      </x:c>
    </x:row>
    <x:row r="134" ht="44" customHeight="1">
      <x:c r="A134" s="3" t="str">
        <x:v>M-02</x:v>
      </x:c>
      <x:c r="B134" s="3" t="str">
        <x:v>M Demenz und psychische Gesundheit</x:v>
      </x:c>
      <x:c r="C134" s="3" t="str">
        <x:v>Orientierungsunterstützung</x:v>
      </x:c>
      <x:c r="D134" s="3" t="str">
        <x:v>Hilfen, Tagesstruktur, Auslöser, vereinbarte Intervention</x:v>
      </x:c>
      <x:c r="E134" s="3" t="str">
        <x:v>Individuell hilfreiche Maßnahme wird im nächsten Einsatz angezeigt.</x:v>
      </x:c>
      <x:c r="F134" s="3" t="str">
        <x:v>M-P01</x:v>
      </x:c>
      <x:c r="G134" s="3" t="str">
        <x:v>C-02, D-02</x:v>
      </x:c>
      <x:c r="H134" s="5" t="str">
        <x:v>Bestand zu prüfen</x:v>
      </x:c>
      <x:c r="I134" s="5" t="str">
        <x:v>Offen</x:v>
      </x:c>
      <x:c r="J134" s="5" t="str">
        <x:v>Offen</x:v>
      </x:c>
      <x:c r="K134" s="5" t="str">
        <x:v>Offen</x:v>
      </x:c>
      <x:c r="L134" s="5" t="str">
        <x:v>Offen</x:v>
      </x:c>
      <x:c r="M134" s="5" t="str"/>
      <x:c r="N134" s="3" t="str">
        <x:f>IF(AND(H134="Umgesetzt",I134="Bestanden",OR(J134="Bestanden",J134="Entfällt geprüft"),OR(K134="Bestanden",K134="Entfällt geprüft"),OR(L134="Bestanden",L134="Entfällt geprüft"),M134&lt;&gt;""),"Abgenommen","Offen")</x:f>
        <x:v>Offen</x:v>
      </x:c>
      <x:c r="O134" s="3" t="str">
        <x:v>Bestehenden Ablauf für „Orientierungsunterstützung“ prüfen. Fehlende Datenfelder und Einzelfälle ergänzen, anschließend den genannten Abnahmefall nachweisen.</x:v>
      </x:c>
    </x:row>
    <x:row r="135" ht="44" customHeight="1">
      <x:c r="A135" s="3" t="str">
        <x:v>M-03</x:v>
      </x:c>
      <x:c r="B135" s="3" t="str">
        <x:v>M Demenz und psychische Gesundheit</x:v>
      </x:c>
      <x:c r="C135" s="3" t="str">
        <x:v>Herausforderndes Verhalten</x:v>
      </x:c>
      <x:c r="D135" s="3" t="str">
        <x:v>Beobachtung, Kontext, Auslöser, Reaktion, Verlauf</x:v>
      </x:c>
      <x:c r="E135" s="3" t="str">
        <x:v>Wertende Pauschalbegriffe ersetzen keine konkrete Beobachtung.</x:v>
      </x:c>
      <x:c r="F135" s="3" t="str">
        <x:v>M-P01</x:v>
      </x:c>
      <x:c r="G135" s="3" t="str">
        <x:v>C-02, D-02</x:v>
      </x:c>
      <x:c r="H135" s="5" t="str">
        <x:v>Bestand zu prüfen</x:v>
      </x:c>
      <x:c r="I135" s="5" t="str">
        <x:v>Offen</x:v>
      </x:c>
      <x:c r="J135" s="5" t="str">
        <x:v>Offen</x:v>
      </x:c>
      <x:c r="K135" s="5" t="str">
        <x:v>Offen</x:v>
      </x:c>
      <x:c r="L135" s="5" t="str">
        <x:v>Offen</x:v>
      </x:c>
      <x:c r="M135" s="5" t="str">
        <x:v>CP149 erhält ganze narrative Originalereignisse; CP175 bindet deren Historien-/Panelverbrauch an feste eigene SIS-Originalbelege und den tatsächlich gelesenen eigenen Kontext. 21 neue Fälle, 8071 Tests, native64/7 und Session29/2. Keine Wertung/Klassifikation oder M03-Fachabnahme; bisherige Einzelstatus unverändert.</x:v>
      </x:c>
      <x:c r="N135" s="3" t="str">
        <x:f>IF(AND(H135="Umgesetzt",I135="Bestanden",OR(J135="Bestanden",J135="Entfällt geprüft"),OR(K135="Bestanden",K135="Entfällt geprüft"),OR(L135="Bestanden",L135="Entfällt geprüft"),M135&lt;&gt;""),"Abgenommen","Offen")</x:f>
        <x:v>Offen</x:v>
      </x:c>
      <x:c r="O135" s="3" t="str">
        <x:v>Konkrete Beobachtung, Kontext, Auslöser, Reaktion und Verlauf im erreichbaren Fachablauf nachweisen. Originalfreitext ohne Diagnose-/Wertungsschluss; tatsächlichen Browser/React/Layout und Feldrechte sowie Pflege/Recht getrennt abnehmen.</x:v>
      </x:c>
    </x:row>
    <x:row r="136" ht="44" customHeight="1">
      <x:c r="A136" s="3" t="str">
        <x:v>M-04</x:v>
      </x:c>
      <x:c r="B136" s="3" t="str">
        <x:v>M Demenz und psychische Gesundheit</x:v>
      </x:c>
      <x:c r="C136" s="3" t="str">
        <x:v>Psychische Krisen</x:v>
      </x:c>
      <x:c r="D136" s="3" t="str">
        <x:v>Anzeichen, vereinbarter Krisenplan, Ansprechpartner, Schritte</x:v>
      </x:c>
      <x:c r="E136" s="3" t="str">
        <x:v>Akute Rückmeldung ist mit erreichbarer Zuständigkeit und Verlauf verbunden.</x:v>
      </x:c>
      <x:c r="F136" s="3" t="str">
        <x:v>M-P02</x:v>
      </x:c>
      <x:c r="G136" s="3" t="str">
        <x:v>C-02, D-02</x:v>
      </x:c>
      <x:c r="H136" s="5" t="str">
        <x:v>Bestand zu prüfen</x:v>
      </x:c>
      <x:c r="I136" s="5" t="str">
        <x:v>Offen</x:v>
      </x:c>
      <x:c r="J136" s="5" t="str">
        <x:v>Offen</x:v>
      </x:c>
      <x:c r="K136" s="5" t="str">
        <x:v>Offen</x:v>
      </x:c>
      <x:c r="L136" s="5" t="str">
        <x:v>Offen</x:v>
      </x:c>
      <x:c r="M136" s="5" t="str">
        <x:v>CP149: Originale Risiko-/Unterstützungs-/Warnzeichen-/Eskalationstexte und historische Reviewvereinbarungen getrennt lesbar. Keine Krisen-, Durchführung- oder Aufgabenfreigabe.</x:v>
      </x:c>
      <x:c r="N136" s="3" t="str">
        <x:f>IF(AND(H136="Umgesetzt",I136="Bestanden",OR(J136="Bestanden",J136="Entfällt geprüft"),OR(K136="Bestanden",K136="Entfällt geprüft"),OR(L136="Bestanden",L136="Entfällt geprüft"),M136&lt;&gt;""),"Abgenommen","Offen")</x:f>
        <x:v>Offen</x:v>
      </x:c>
      <x:c r="O136" s="3" t="str">
        <x:v>Akute Rückmeldung mit tatsächlich erreichbarer Zuständigkeit und Verlauf am echten Fachzugang prüfen; spezielle Feldrechte und Fachabnahmen offen.</x:v>
      </x:c>
    </x:row>
    <x:row r="137" ht="44" customHeight="1">
      <x:c r="A137" s="3" t="str">
        <x:v>M-05</x:v>
      </x:c>
      <x:c r="B137" s="3" t="str">
        <x:v>M Demenz und psychische Gesundheit</x:v>
      </x:c>
      <x:c r="C137" s="3" t="str">
        <x:v>Schlaf und Ruhe</x:v>
      </x:c>
      <x:c r="D137" s="3" t="str">
        <x:v>Gewohnheiten, Nachtverlauf, Störung, Unterstützung</x:v>
      </x:c>
      <x:c r="E137" s="3" t="str">
        <x:v>Einzelne Beobachtungen erzeugen keine automatisch gesicherte Schlafdiagnose.</x:v>
      </x:c>
      <x:c r="F137" s="3" t="str">
        <x:v>M-P02</x:v>
      </x:c>
      <x:c r="G137" s="3" t="str">
        <x:v>C-02, D-02</x:v>
      </x:c>
      <x:c r="H137" s="5" t="str">
        <x:v>Bestand zu prüfen</x:v>
      </x:c>
      <x:c r="I137" s="5" t="str">
        <x:v>Offen</x:v>
      </x:c>
      <x:c r="J137" s="5" t="str">
        <x:v>Offen</x:v>
      </x:c>
      <x:c r="K137" s="5" t="str">
        <x:v>Offen</x:v>
      </x:c>
      <x:c r="L137" s="5" t="str">
        <x:v>Offen</x:v>
      </x:c>
      <x:c r="M137" s="5" t="str"/>
      <x:c r="N137" s="3" t="str">
        <x:f>IF(AND(H137="Umgesetzt",I137="Bestanden",OR(J137="Bestanden",J137="Entfällt geprüft"),OR(K137="Bestanden",K137="Entfällt geprüft"),OR(L137="Bestanden",L137="Entfällt geprüft"),M137&lt;&gt;""),"Abgenommen","Offen")</x:f>
        <x:v>Offen</x:v>
      </x:c>
      <x:c r="O137" s="3" t="str">
        <x:v>Bestehenden Ablauf für „Schlaf und Ruhe“ prüfen. Fehlende Datenfelder und Einzelfälle ergänzen, anschließend den genannten Abnahmefall nachweisen.</x:v>
      </x:c>
    </x:row>
    <x:row r="138" ht="44" customHeight="1">
      <x:c r="A138" s="3" t="str">
        <x:v>M-06</x:v>
      </x:c>
      <x:c r="B138" s="3" t="str">
        <x:v>M Demenz und psychische Gesundheit</x:v>
      </x:c>
      <x:c r="C138" s="3" t="str">
        <x:v>Teilhabe und soziale Isolation</x:v>
      </x:c>
      <x:c r="D138" s="3" t="str">
        <x:v>Wunsch, Bezugsperson, Angebot, Teilnahme, Ablehnung</x:v>
      </x:c>
      <x:c r="E138" s="3" t="str">
        <x:v>Angebot und tatsächliche Teilnahme werden getrennt dokumentiert.</x:v>
      </x:c>
      <x:c r="F138" s="3" t="str">
        <x:v>M-P02</x:v>
      </x:c>
      <x:c r="G138" s="3" t="str">
        <x:v>C-02, D-02</x:v>
      </x:c>
      <x:c r="H138" s="5" t="str">
        <x:v>Bestand zu prüfen</x:v>
      </x:c>
      <x:c r="I138" s="5" t="str">
        <x:v>Offen</x:v>
      </x:c>
      <x:c r="J138" s="5" t="str">
        <x:v>Offen</x:v>
      </x:c>
      <x:c r="K138" s="5" t="str">
        <x:v>Offen</x:v>
      </x:c>
      <x:c r="L138" s="5" t="str">
        <x:v>Offen</x:v>
      </x:c>
      <x:c r="M138" s="5" t="str"/>
      <x:c r="N138" s="3" t="str">
        <x:f>IF(AND(H138="Umgesetzt",I138="Bestanden",OR(J138="Bestanden",J138="Entfällt geprüft"),OR(K138="Bestanden",K138="Entfällt geprüft"),OR(L138="Bestanden",L138="Entfällt geprüft"),M138&lt;&gt;""),"Abgenommen","Offen")</x:f>
        <x:v>Offen</x:v>
      </x:c>
      <x:c r="O138" s="3" t="str">
        <x:v>Bestehenden Ablauf für „Teilhabe und soziale Isolation“ prüfen. Fehlende Datenfelder und Einzelfälle ergänzen, anschließend den genannten Abnahmefall nachweisen.</x:v>
      </x:c>
    </x:row>
    <x:row r="139" ht="44" customHeight="1">
      <x:c r="A139" s="3" t="str">
        <x:v>M-07</x:v>
      </x:c>
      <x:c r="B139" s="3" t="str">
        <x:v>M Demenz und psychische Gesundheit</x:v>
      </x:c>
      <x:c r="C139" s="3" t="str">
        <x:v>Selbstgefährdung und Schutzbedarf</x:v>
      </x:c>
      <x:c r="D139" s="3" t="str">
        <x:v>Beobachtung, fachliche Einschätzung, Plan, Weitergabe</x:v>
      </x:c>
      <x:c r="E139" s="3" t="str">
        <x:v>Vertrauliche Hinweise werden nur passenden berechtigten Rollen angezeigt.</x:v>
      </x:c>
      <x:c r="F139" s="3" t="str">
        <x:v>M-P03</x:v>
      </x:c>
      <x:c r="G139" s="3" t="str">
        <x:v>C-02, D-02</x:v>
      </x:c>
      <x:c r="H139" s="5" t="str">
        <x:v>Bestand zu prüfen</x:v>
      </x:c>
      <x:c r="I139" s="5" t="str">
        <x:v>Offen</x:v>
      </x:c>
      <x:c r="J139" s="5" t="str">
        <x:v>Offen</x:v>
      </x:c>
      <x:c r="K139" s="5" t="str">
        <x:v>Offen</x:v>
      </x:c>
      <x:c r="L139" s="5" t="str">
        <x:v>Offen</x:v>
      </x:c>
      <x:c r="M139" s="5" t="str">
        <x:v>CP153: Private zusätzliche Anzeigehürde plans.view+office.clients.view_sensitive und feste primitive Auswahl; keine historischen Risiko-/Krisen-/Event-Rawdumps oder Rawauth-/Receiptprops.</x:v>
      </x:c>
      <x:c r="N139" s="3" t="str">
        <x:f>IF(AND(H139="Umgesetzt",I139="Bestanden",OR(J139="Bestanden",J139="Entfällt geprüft"),OR(K139="Bestanden",K139="Entfällt geprüft"),OR(L139="Bestanden",L139="Entfällt geprüft"),M139&lt;&gt;""),"Abgenommen","Offen")</x:f>
        <x:v>Offen</x:v>
      </x:c>
      <x:c r="O139" s="3" t="str">
        <x:v>M07 passende Rollen, patientenspezifisches need-to-know und psychiatrische Feldrechte tatsächlich nachweisen. Allgemeine Dualrechte ersetzen diese Anforderungen nicht; Aufgabe und Fachabnahmen offen.</x:v>
      </x:c>
    </x:row>
    <x:row r="140" ht="44" customHeight="1">
      <x:c r="A140" s="3" t="str">
        <x:v>M-08</x:v>
      </x:c>
      <x:c r="B140" s="3" t="str">
        <x:v>M Demenz und psychische Gesundheit</x:v>
      </x:c>
      <x:c r="C140" s="3" t="str">
        <x:v>Psychiatrische häusliche Krankenpflege</x:v>
      </x:c>
      <x:c r="D140" s="3" t="str">
        <x:v>Verordnung, spezifischer Plan, Qualifikation, Verlauf</x:v>
      </x:c>
      <x:c r="E140" s="3" t="str">
        <x:v>Spezialleistung erhält eigene Anforderungen und gesonderte Fachabnahme.</x:v>
      </x:c>
      <x:c r="F140" s="3" t="str">
        <x:v>M-P03</x:v>
      </x:c>
      <x:c r="G140" s="3" t="str">
        <x:v>C-02, D-02</x:v>
      </x:c>
      <x:c r="H140" s="5" t="str">
        <x:v>Bestand zu prüfen</x:v>
      </x:c>
      <x:c r="I140" s="5" t="str">
        <x:v>Offen</x:v>
      </x:c>
      <x:c r="J140" s="5" t="str">
        <x:v>Offen</x:v>
      </x:c>
      <x:c r="K140" s="5" t="str">
        <x:v>Offen</x:v>
      </x:c>
      <x:c r="L140" s="5" t="str">
        <x:v>Offen</x:v>
      </x:c>
      <x:c r="M140" s="5" t="str"/>
      <x:c r="N140" s="3" t="str">
        <x:f>IF(AND(H140="Umgesetzt",I140="Bestanden",OR(J140="Bestanden",J140="Entfällt geprüft"),OR(K140="Bestanden",K140="Entfällt geprüft"),OR(L140="Bestanden",L140="Entfällt geprüft"),M140&lt;&gt;""),"Abgenommen","Offen")</x:f>
        <x:v>Offen</x:v>
      </x:c>
      <x:c r="O140" s="3" t="str">
        <x:v>Bestehenden Ablauf für „Psychiatrische häusliche Krankenpflege“ prüfen. Fehlende Datenfelder und Einzelfälle ergänzen, anschließend den genannten Abnahmefall nachweisen.</x:v>
      </x:c>
    </x:row>
    <x:row r="141" ht="44" customHeight="1">
      <x:c r="A141" s="3" t="str">
        <x:v>N-01</x:v>
      </x:c>
      <x:c r="B141" s="3" t="str">
        <x:v>N Palliative Pflege und besondere Lebenslagen</x:v>
      </x:c>
      <x:c r="C141" s="3" t="str">
        <x:v>Palliative Zielvereinbarung</x:v>
      </x:c>
      <x:c r="D141" s="3" t="str">
        <x:v>Behandlungsziel, Wünsche, Beteiligte, Quelle, Aktualität</x:v>
      </x:c>
      <x:c r="E141" s="3" t="str">
        <x:v>Wünsche und verbindliche ärztliche Anordnung bleiben getrennt.</x:v>
      </x:c>
      <x:c r="F141" s="3" t="str">
        <x:v>N-P01</x:v>
      </x:c>
      <x:c r="G141" s="3" t="str">
        <x:v>B-04, D-02</x:v>
      </x:c>
      <x:c r="H141" s="5" t="str">
        <x:v>Bestand zu prüfen</x:v>
      </x:c>
      <x:c r="I141" s="5" t="str">
        <x:v>Offen</x:v>
      </x:c>
      <x:c r="J141" s="5" t="str">
        <x:v>Offen</x:v>
      </x:c>
      <x:c r="K141" s="5" t="str">
        <x:v>Offen</x:v>
      </x:c>
      <x:c r="L141" s="5" t="str">
        <x:v>Offen</x:v>
      </x:c>
      <x:c r="M141" s="5" t="str"/>
      <x:c r="N141" s="3" t="str">
        <x:f>IF(AND(H141="Umgesetzt",I141="Bestanden",OR(J141="Bestanden",J141="Entfällt geprüft"),OR(K141="Bestanden",K141="Entfällt geprüft"),OR(L141="Bestanden",L141="Entfällt geprüft"),M141&lt;&gt;""),"Abgenommen","Offen")</x:f>
        <x:v>Offen</x:v>
      </x:c>
      <x:c r="O141" s="3" t="str">
        <x:v>Bestehenden Ablauf für „Palliative Zielvereinbarung“ prüfen. Fehlende Datenfelder und Einzelfälle ergänzen, anschließend den genannten Abnahmefall nachweisen.</x:v>
      </x:c>
    </x:row>
    <x:row r="142" ht="44" customHeight="1">
      <x:c r="A142" s="3" t="str">
        <x:v>N-02</x:v>
      </x:c>
      <x:c r="B142" s="3" t="str">
        <x:v>N Palliative Pflege und besondere Lebenslagen</x:v>
      </x:c>
      <x:c r="C142" s="3" t="str">
        <x:v>Patientenverfügung und Vorsorge</x:v>
      </x:c>
      <x:c r="D142" s="3" t="str">
        <x:v>Dokument, Gültigkeitsprüfung, Kontakt, Zugriff, Versionsbezug</x:v>
      </x:c>
      <x:c r="E142" s="3" t="str">
        <x:v>Aktuelles Dokument ist erreichbar und veraltete Fassung gekennzeichnet.</x:v>
      </x:c>
      <x:c r="F142" s="3" t="str">
        <x:v>N-P01</x:v>
      </x:c>
      <x:c r="G142" s="3" t="str">
        <x:v>B-04, D-02</x:v>
      </x:c>
      <x:c r="H142" s="5" t="str">
        <x:v>Bestand zu prüfen</x:v>
      </x:c>
      <x:c r="I142" s="5" t="str">
        <x:v>Offen</x:v>
      </x:c>
      <x:c r="J142" s="5" t="str">
        <x:v>Offen</x:v>
      </x:c>
      <x:c r="K142" s="5" t="str">
        <x:v>Offen</x:v>
      </x:c>
      <x:c r="L142" s="5" t="str">
        <x:v>Offen</x:v>
      </x:c>
      <x:c r="M142" s="5" t="str"/>
      <x:c r="N142" s="3" t="str">
        <x:f>IF(AND(H142="Umgesetzt",I142="Bestanden",OR(J142="Bestanden",J142="Entfällt geprüft"),OR(K142="Bestanden",K142="Entfällt geprüft"),OR(L142="Bestanden",L142="Entfällt geprüft"),M142&lt;&gt;""),"Abgenommen","Offen")</x:f>
        <x:v>Offen</x:v>
      </x:c>
      <x:c r="O142" s="3" t="str">
        <x:v>Bestehenden Ablauf für „Patientenverfügung und Vorsorge“ prüfen. Fehlende Datenfelder und Einzelfälle ergänzen, anschließend den genannten Abnahmefall nachweisen.</x:v>
      </x:c>
    </x:row>
    <x:row r="143" ht="44" customHeight="1">
      <x:c r="A143" s="3" t="str">
        <x:v>N-03</x:v>
      </x:c>
      <x:c r="B143" s="3" t="str">
        <x:v>N Palliative Pflege und besondere Lebenslagen</x:v>
      </x:c>
      <x:c r="C143" s="3" t="str">
        <x:v>Symptomverlauf</x:v>
      </x:c>
      <x:c r="D143" s="3" t="str">
        <x:v>Schmerz, Atemnot, Übelkeit, Belastung, Maßnahme, Kontrolle</x:v>
      </x:c>
      <x:c r="E143" s="3" t="str">
        <x:v>Jede relevante Maßnahme lässt sich zu ihrer Wirkungskontrolle verfolgen.</x:v>
      </x:c>
      <x:c r="F143" s="3" t="str">
        <x:v>N-P01</x:v>
      </x:c>
      <x:c r="G143" s="3" t="str">
        <x:v>B-04, D-02</x:v>
      </x:c>
      <x:c r="H143" s="5" t="str">
        <x:v>Bestand zu prüfen</x:v>
      </x:c>
      <x:c r="I143" s="5" t="str">
        <x:v>Offen</x:v>
      </x:c>
      <x:c r="J143" s="5" t="str">
        <x:v>Offen</x:v>
      </x:c>
      <x:c r="K143" s="5" t="str">
        <x:v>Offen</x:v>
      </x:c>
      <x:c r="L143" s="5" t="str">
        <x:v>Offen</x:v>
      </x:c>
      <x:c r="M143" s="5" t="str"/>
      <x:c r="N143" s="3" t="str">
        <x:f>IF(AND(H143="Umgesetzt",I143="Bestanden",OR(J143="Bestanden",J143="Entfällt geprüft"),OR(K143="Bestanden",K143="Entfällt geprüft"),OR(L143="Bestanden",L143="Entfällt geprüft"),M143&lt;&gt;""),"Abgenommen","Offen")</x:f>
        <x:v>Offen</x:v>
      </x:c>
      <x:c r="O143" s="3" t="str">
        <x:v>Bestehenden Ablauf für „Symptomverlauf“ prüfen. Fehlende Datenfelder und Einzelfälle ergänzen, anschließend den genannten Abnahmefall nachweisen.</x:v>
      </x:c>
    </x:row>
    <x:row r="144" ht="44" customHeight="1">
      <x:c r="A144" s="3" t="str">
        <x:v>N-04</x:v>
      </x:c>
      <x:c r="B144" s="3" t="str">
        <x:v>N Palliative Pflege und besondere Lebenslagen</x:v>
      </x:c>
      <x:c r="C144" s="3" t="str">
        <x:v>Sterbephase und Angehörige</x:v>
      </x:c>
      <x:c r="D144" s="3" t="str">
        <x:v>Beobachtung, Unterstützung, Ansprechpartner, Vereinbarung</x:v>
      </x:c>
      <x:c r="E144" s="3" t="str">
        <x:v>Vereinbarte Kontakte und Versorgung bleiben in der Übergabe sichtbar.</x:v>
      </x:c>
      <x:c r="F144" s="3" t="str">
        <x:v>N-P02</x:v>
      </x:c>
      <x:c r="G144" s="3" t="str">
        <x:v>B-04, D-02</x:v>
      </x:c>
      <x:c r="H144" s="5" t="str">
        <x:v>Bestand zu prüfen</x:v>
      </x:c>
      <x:c r="I144" s="5" t="str">
        <x:v>Offen</x:v>
      </x:c>
      <x:c r="J144" s="5" t="str">
        <x:v>Offen</x:v>
      </x:c>
      <x:c r="K144" s="5" t="str">
        <x:v>Offen</x:v>
      </x:c>
      <x:c r="L144" s="5" t="str">
        <x:v>Offen</x:v>
      </x:c>
      <x:c r="M144" s="5" t="str"/>
      <x:c r="N144" s="3" t="str">
        <x:f>IF(AND(H144="Umgesetzt",I144="Bestanden",OR(J144="Bestanden",J144="Entfällt geprüft"),OR(K144="Bestanden",K144="Entfällt geprüft"),OR(L144="Bestanden",L144="Entfällt geprüft"),M144&lt;&gt;""),"Abgenommen","Offen")</x:f>
        <x:v>Offen</x:v>
      </x:c>
      <x:c r="O144" s="3" t="str">
        <x:v>Bestehenden Ablauf für „Sterbephase und Angehörige“ prüfen. Fehlende Datenfelder und Einzelfälle ergänzen, anschließend den genannten Abnahmefall nachweisen.</x:v>
      </x:c>
    </x:row>
    <x:row r="145" ht="44" customHeight="1">
      <x:c r="A145" s="3" t="str">
        <x:v>N-05</x:v>
      </x:c>
      <x:c r="B145" s="3" t="str">
        <x:v>N Palliative Pflege und besondere Lebenslagen</x:v>
      </x:c>
      <x:c r="C145" s="3" t="str">
        <x:v>Tod und Abschluss</x:v>
      </x:c>
      <x:c r="D145" s="3" t="str">
        <x:v>Bestätigung, Kontakte, Zeitpunkt, Material, Vertragsabschluss</x:v>
      </x:c>
      <x:c r="E145" s="3" t="str">
        <x:v>Tod erzeugt keinen automatischen medizinischen Feststellungsnachweis.</x:v>
      </x:c>
      <x:c r="F145" s="3" t="str">
        <x:v>N-P02</x:v>
      </x:c>
      <x:c r="G145" s="3" t="str">
        <x:v>B-04, D-02</x:v>
      </x:c>
      <x:c r="H145" s="5" t="str">
        <x:v>Bestand zu prüfen</x:v>
      </x:c>
      <x:c r="I145" s="5" t="str">
        <x:v>Offen</x:v>
      </x:c>
      <x:c r="J145" s="5" t="str">
        <x:v>Offen</x:v>
      </x:c>
      <x:c r="K145" s="5" t="str">
        <x:v>Offen</x:v>
      </x:c>
      <x:c r="L145" s="5" t="str">
        <x:v>Offen</x:v>
      </x:c>
      <x:c r="M145" s="5" t="str"/>
      <x:c r="N145" s="3" t="str">
        <x:f>IF(AND(H145="Umgesetzt",I145="Bestanden",OR(J145="Bestanden",J145="Entfällt geprüft"),OR(K145="Bestanden",K145="Entfällt geprüft"),OR(L145="Bestanden",L145="Entfällt geprüft"),M145&lt;&gt;""),"Abgenommen","Offen")</x:f>
        <x:v>Offen</x:v>
      </x:c>
      <x:c r="O145" s="3" t="str">
        <x:v>Bestehenden Ablauf für „Tod und Abschluss“ prüfen. Fehlende Datenfelder und Einzelfälle ergänzen, anschließend den genannten Abnahmefall nachweisen.</x:v>
      </x:c>
    </x:row>
    <x:row r="146" ht="44" customHeight="1">
      <x:c r="A146" s="3" t="str">
        <x:v>N-06</x:v>
      </x:c>
      <x:c r="B146" s="3" t="str">
        <x:v>N Palliative Pflege und besondere Lebenslagen</x:v>
      </x:c>
      <x:c r="C146" s="3" t="str">
        <x:v>Kinder und Jugendliche</x:v>
      </x:c>
      <x:c r="D146" s="3" t="str">
        <x:v>Sorgeberechtigung, Entwicklungsbezug, Gewicht, spezifische Pläne</x:v>
      </x:c>
      <x:c r="E146" s="3" t="str">
        <x:v>Erwachsenenwerte und Dosisschemata werden nicht unbemerkt übertragen.</x:v>
      </x:c>
      <x:c r="F146" s="3" t="str">
        <x:v>N-P02</x:v>
      </x:c>
      <x:c r="G146" s="3" t="str">
        <x:v>B-04, D-02</x:v>
      </x:c>
      <x:c r="H146" s="5" t="str">
        <x:v>Bestand zu prüfen</x:v>
      </x:c>
      <x:c r="I146" s="5" t="str">
        <x:v>Offen</x:v>
      </x:c>
      <x:c r="J146" s="5" t="str">
        <x:v>Offen</x:v>
      </x:c>
      <x:c r="K146" s="5" t="str">
        <x:v>Offen</x:v>
      </x:c>
      <x:c r="L146" s="5" t="str">
        <x:v>Offen</x:v>
      </x:c>
      <x:c r="M146" s="5" t="str"/>
      <x:c r="N146" s="3" t="str">
        <x:f>IF(AND(H146="Umgesetzt",I146="Bestanden",OR(J146="Bestanden",J146="Entfällt geprüft"),OR(K146="Bestanden",K146="Entfällt geprüft"),OR(L146="Bestanden",L146="Entfällt geprüft"),M146&lt;&gt;""),"Abgenommen","Offen")</x:f>
        <x:v>Offen</x:v>
      </x:c>
      <x:c r="O146" s="3" t="str">
        <x:v>Bestehenden Ablauf für „Kinder und Jugendliche“ prüfen. Fehlende Datenfelder und Einzelfälle ergänzen, anschließend den genannten Abnahmefall nachweisen.</x:v>
      </x:c>
    </x:row>
    <x:row r="147" ht="44" customHeight="1">
      <x:c r="A147" s="3" t="str">
        <x:v>N-07</x:v>
      </x:c>
      <x:c r="B147" s="3" t="str">
        <x:v>N Palliative Pflege und besondere Lebenslagen</x:v>
      </x:c>
      <x:c r="C147" s="3" t="str">
        <x:v>Behinderung und komplexe Teilhabe</x:v>
      </x:c>
      <x:c r="D147" s="3" t="str">
        <x:v>Kommunikationshilfen, Assistenz, Ressourcen, Koordination</x:v>
      </x:c>
      <x:c r="E147" s="3" t="str">
        <x:v>Individuelle Hilfen bleiben im Einsatz unmittelbar auffindbar.</x:v>
      </x:c>
      <x:c r="F147" s="3" t="str">
        <x:v>N-P03</x:v>
      </x:c>
      <x:c r="G147" s="3" t="str">
        <x:v>B-04, D-02</x:v>
      </x:c>
      <x:c r="H147" s="5" t="str">
        <x:v>Bestand zu prüfen</x:v>
      </x:c>
      <x:c r="I147" s="5" t="str">
        <x:v>Offen</x:v>
      </x:c>
      <x:c r="J147" s="5" t="str">
        <x:v>Offen</x:v>
      </x:c>
      <x:c r="K147" s="5" t="str">
        <x:v>Offen</x:v>
      </x:c>
      <x:c r="L147" s="5" t="str">
        <x:v>Offen</x:v>
      </x:c>
      <x:c r="M147" s="5" t="str"/>
      <x:c r="N147" s="3" t="str">
        <x:f>IF(AND(H147="Umgesetzt",I147="Bestanden",OR(J147="Bestanden",J147="Entfällt geprüft"),OR(K147="Bestanden",K147="Entfällt geprüft"),OR(L147="Bestanden",L147="Entfällt geprüft"),M147&lt;&gt;""),"Abgenommen","Offen")</x:f>
        <x:v>Offen</x:v>
      </x:c>
      <x:c r="O147" s="3" t="str">
        <x:v>Bestehenden Ablauf für „Behinderung und komplexe Teilhabe“ prüfen. Fehlende Datenfelder und Einzelfälle ergänzen, anschließend den genannten Abnahmefall nachweisen.</x:v>
      </x:c>
    </x:row>
    <x:row r="148" ht="44" customHeight="1">
      <x:c r="A148" s="3" t="str">
        <x:v>N-08</x:v>
      </x:c>
      <x:c r="B148" s="3" t="str">
        <x:v>N Palliative Pflege und besondere Lebenslagen</x:v>
      </x:c>
      <x:c r="C148" s="3" t="str">
        <x:v>Weitere spezialisierte Versorgungen</x:v>
      </x:c>
      <x:c r="D148" s="3" t="str">
        <x:v>Leistungsprofil, Vertrag, Fachanforderung, Nachweise</x:v>
      </x:c>
      <x:c r="E148" s="3" t="str">
        <x:v>Spezialprofil bleibt bis zu seiner eigenen Abnahme ausdrücklich ungeprüft.</x:v>
      </x:c>
      <x:c r="F148" s="3" t="str">
        <x:v>N-P03</x:v>
      </x:c>
      <x:c r="G148" s="3" t="str">
        <x:v>B-04, D-02</x:v>
      </x:c>
      <x:c r="H148" s="5" t="str">
        <x:v>Bestand zu prüfen</x:v>
      </x:c>
      <x:c r="I148" s="5" t="str">
        <x:v>Offen</x:v>
      </x:c>
      <x:c r="J148" s="5" t="str">
        <x:v>Offen</x:v>
      </x:c>
      <x:c r="K148" s="5" t="str">
        <x:v>Offen</x:v>
      </x:c>
      <x:c r="L148" s="5" t="str">
        <x:v>Offen</x:v>
      </x:c>
      <x:c r="M148" s="5" t="str"/>
      <x:c r="N148" s="3" t="str">
        <x:f>IF(AND(H148="Umgesetzt",I148="Bestanden",OR(J148="Bestanden",J148="Entfällt geprüft"),OR(K148="Bestanden",K148="Entfällt geprüft"),OR(L148="Bestanden",L148="Entfällt geprüft"),M148&lt;&gt;""),"Abgenommen","Offen")</x:f>
        <x:v>Offen</x:v>
      </x:c>
      <x:c r="O148" s="3" t="str">
        <x:v>Bestehenden Ablauf für „Weitere spezialisierte Versorgungen“ prüfen. Fehlende Datenfelder und Einzelfälle ergänzen, anschließend den genannten Abnahmefall nachweisen.</x:v>
      </x:c>
    </x:row>
    <x:row r="149" ht="44" customHeight="1">
      <x:c r="A149" s="3" t="str">
        <x:v>N-09</x:v>
      </x:c>
      <x:c r="B149" s="3" t="str">
        <x:v>N Palliative Pflege und besondere Lebenslagen</x:v>
      </x:c>
      <x:c r="C149" s="3" t="str">
        <x:v>Gesonderte Spezialleistung vereinbaren</x:v>
      </x:c>
      <x:c r="D149" s="3" t="str">
        <x:v>Leistungsauftrag, Zuständigkeit, Fachnachweis, Ansprechstelle</x:v>
      </x:c>
      <x:c r="E149" s="3" t="str">
        <x:v>Allgemeiner Pflegestatus ersetzt keine spezifische Leistungsfreigabe.</x:v>
      </x:c>
      <x:c r="F149" s="3" t="str">
        <x:v>N-P03</x:v>
      </x:c>
      <x:c r="G149" s="3" t="str">
        <x:v>B-04, D-02</x:v>
      </x:c>
      <x:c r="H149" s="5" t="str">
        <x:v>Bestand zu prüfen</x:v>
      </x:c>
      <x:c r="I149" s="5" t="str">
        <x:v>Offen</x:v>
      </x:c>
      <x:c r="J149" s="5" t="str">
        <x:v>Offen</x:v>
      </x:c>
      <x:c r="K149" s="5" t="str">
        <x:v>Offen</x:v>
      </x:c>
      <x:c r="L149" s="5" t="str">
        <x:v>Offen</x:v>
      </x:c>
      <x:c r="M149" s="5" t="str"/>
      <x:c r="N149" s="3" t="str">
        <x:f>IF(AND(H149="Umgesetzt",I149="Bestanden",OR(J149="Bestanden",J149="Entfällt geprüft"),OR(K149="Bestanden",K149="Entfällt geprüft"),OR(L149="Bestanden",L149="Entfällt geprüft"),M149&lt;&gt;""),"Abgenommen","Offen")</x:f>
        <x:v>Offen</x:v>
      </x:c>
      <x:c r="O149" s="3" t="str">
        <x:v>Bestehenden Ablauf für „Gesonderte Spezialleistung vereinbaren“ prüfen. Fehlende Datenfelder und Einzelfälle ergänzen, anschließend den genannten Abnahmefall nachweisen.</x:v>
      </x:c>
    </x:row>
    <x:row r="150" ht="44" customHeight="1">
      <x:c r="A150" s="3" t="str">
        <x:v>N-10</x:v>
      </x:c>
      <x:c r="B150" s="3" t="str">
        <x:v>N Palliative Pflege und besondere Lebenslagen</x:v>
      </x:c>
      <x:c r="C150" s="3" t="str">
        <x:v>Kultursensible Versorgung</x:v>
      </x:c>
      <x:c r="D150" s="3" t="str">
        <x:v>Wünsche, Sprache, religiöse Bedürfnisse, vereinbarte Hilfe</x:v>
      </x:c>
      <x:c r="E150" s="3" t="str">
        <x:v>Individuelle Angabe erzeugt keine pauschale stereotype Maßnahme.</x:v>
      </x:c>
      <x:c r="F150" s="3" t="str">
        <x:v>N-P04</x:v>
      </x:c>
      <x:c r="G150" s="3" t="str">
        <x:v>B-04, D-02</x:v>
      </x:c>
      <x:c r="H150" s="5" t="str">
        <x:v>Bestand zu prüfen</x:v>
      </x:c>
      <x:c r="I150" s="5" t="str">
        <x:v>Offen</x:v>
      </x:c>
      <x:c r="J150" s="5" t="str">
        <x:v>Offen</x:v>
      </x:c>
      <x:c r="K150" s="5" t="str">
        <x:v>Offen</x:v>
      </x:c>
      <x:c r="L150" s="5" t="str">
        <x:v>Offen</x:v>
      </x:c>
      <x:c r="M150" s="5" t="str"/>
      <x:c r="N150" s="3" t="str">
        <x:f>IF(AND(H150="Umgesetzt",I150="Bestanden",OR(J150="Bestanden",J150="Entfällt geprüft"),OR(K150="Bestanden",K150="Entfällt geprüft"),OR(L150="Bestanden",L150="Entfällt geprüft"),M150&lt;&gt;""),"Abgenommen","Offen")</x:f>
        <x:v>Offen</x:v>
      </x:c>
      <x:c r="O150" s="3" t="str">
        <x:v>Bestehenden Ablauf für „Kultursensible Versorgung“ prüfen. Fehlende Datenfelder und Einzelfälle ergänzen, anschließend den genannten Abnahmefall nachweisen.</x:v>
      </x:c>
    </x:row>
    <x:row r="151" ht="44" customHeight="1">
      <x:c r="A151" s="3" t="str">
        <x:v>O-01</x:v>
      </x:c>
      <x:c r="B151" s="3" t="str">
        <x:v>O Beratung und Koordination</x:v>
      </x:c>
      <x:c r="C151" s="3" t="str">
        <x:v>Pflegeberatung vereinbaren</x:v>
      </x:c>
      <x:c r="D151" s="3" t="str">
        <x:v>Anlass, Termin, Beteiligte, Bedarf, Zuständigkeit</x:v>
      </x:c>
      <x:c r="E151" s="3" t="str">
        <x:v>Termin und tatsächlich erfolgte Beratung werden getrennt geführt.</x:v>
      </x:c>
      <x:c r="F151" s="3" t="str">
        <x:v>O-P01</x:v>
      </x:c>
      <x:c r="G151" s="3" t="str">
        <x:v>B-04, W-02</x:v>
      </x:c>
      <x:c r="H151" s="5" t="str">
        <x:v>Bestand zu prüfen</x:v>
      </x:c>
      <x:c r="I151" s="5" t="str">
        <x:v>Offen</x:v>
      </x:c>
      <x:c r="J151" s="5" t="str">
        <x:v>Offen</x:v>
      </x:c>
      <x:c r="K151" s="5" t="str">
        <x:v>Offen</x:v>
      </x:c>
      <x:c r="L151" s="5" t="str">
        <x:v>Offen</x:v>
      </x:c>
      <x:c r="M151" s="5" t="str"/>
      <x:c r="N151" s="3" t="str">
        <x:f>IF(AND(H151="Umgesetzt",I151="Bestanden",OR(J151="Bestanden",J151="Entfällt geprüft"),OR(K151="Bestanden",K151="Entfällt geprüft"),OR(L151="Bestanden",L151="Entfällt geprüft"),M151&lt;&gt;""),"Abgenommen","Offen")</x:f>
        <x:v>Offen</x:v>
      </x:c>
      <x:c r="O151" s="3" t="str">
        <x:v>Bestehenden Ablauf für „Pflegeberatung vereinbaren“ prüfen. Fehlende Datenfelder und Einzelfälle ergänzen, anschließend den genannten Abnahmefall nachweisen.</x:v>
      </x:c>
    </x:row>
    <x:row r="152" ht="44" customHeight="1">
      <x:c r="A152" s="3" t="str">
        <x:v>O-02</x:v>
      </x:c>
      <x:c r="B152" s="3" t="str">
        <x:v>O Beratung und Koordination</x:v>
      </x:c>
      <x:c r="C152" s="3" t="str">
        <x:v>Beratungsbesuch nach Leistungsgrundlage</x:v>
      </x:c>
      <x:c r="D152" s="3" t="str">
        <x:v>Anspruch, Frist, Inhalt, Empfehlung, Bestätigung</x:v>
      </x:c>
      <x:c r="E152" s="3" t="str">
        <x:v>Aktuelle Form- und Nachweisanforderungen werden vor Freigabe geprüft.</x:v>
      </x:c>
      <x:c r="F152" s="3" t="str">
        <x:v>O-P01</x:v>
      </x:c>
      <x:c r="G152" s="3" t="str">
        <x:v>B-04, W-02</x:v>
      </x:c>
      <x:c r="H152" s="5" t="str">
        <x:v>Bestand zu prüfen</x:v>
      </x:c>
      <x:c r="I152" s="5" t="str">
        <x:v>Offen</x:v>
      </x:c>
      <x:c r="J152" s="5" t="str">
        <x:v>Offen</x:v>
      </x:c>
      <x:c r="K152" s="5" t="str">
        <x:v>Offen</x:v>
      </x:c>
      <x:c r="L152" s="5" t="str">
        <x:v>Offen</x:v>
      </x:c>
      <x:c r="M152" s="5" t="str"/>
      <x:c r="N152" s="3" t="str">
        <x:f>IF(AND(H152="Umgesetzt",I152="Bestanden",OR(J152="Bestanden",J152="Entfällt geprüft"),OR(K152="Bestanden",K152="Entfällt geprüft"),OR(L152="Bestanden",L152="Entfällt geprüft"),M152&lt;&gt;""),"Abgenommen","Offen")</x:f>
        <x:v>Offen</x:v>
      </x:c>
      <x:c r="O152" s="3" t="str">
        <x:v>Bestehenden Ablauf für „Beratungsbesuch nach Leistungsgrundlage“ prüfen. Fehlende Datenfelder und Einzelfälle ergänzen, anschließend den genannten Abnahmefall nachweisen.</x:v>
      </x:c>
    </x:row>
    <x:row r="153" ht="44" customHeight="1">
      <x:c r="A153" s="3" t="str">
        <x:v>O-03</x:v>
      </x:c>
      <x:c r="B153" s="3" t="str">
        <x:v>O Beratung und Koordination</x:v>
      </x:c>
      <x:c r="C153" s="3" t="str">
        <x:v>Angehörige anleiten</x:v>
      </x:c>
      <x:c r="D153" s="3" t="str">
        <x:v>Thema, demonstrierte Handlung, Verständnis, Grenzen</x:v>
      </x:c>
      <x:c r="E153" s="3" t="str">
        <x:v>Anleitung und bestätigte eigenständige Durchführung sind unterscheidbar.</x:v>
      </x:c>
      <x:c r="F153" s="3" t="str">
        <x:v>O-P01</x:v>
      </x:c>
      <x:c r="G153" s="3" t="str">
        <x:v>B-04, W-02</x:v>
      </x:c>
      <x:c r="H153" s="5" t="str">
        <x:v>Bestand zu prüfen</x:v>
      </x:c>
      <x:c r="I153" s="5" t="str">
        <x:v>Offen</x:v>
      </x:c>
      <x:c r="J153" s="5" t="str">
        <x:v>Offen</x:v>
      </x:c>
      <x:c r="K153" s="5" t="str">
        <x:v>Offen</x:v>
      </x:c>
      <x:c r="L153" s="5" t="str">
        <x:v>Offen</x:v>
      </x:c>
      <x:c r="M153" s="5" t="str"/>
      <x:c r="N153" s="3" t="str">
        <x:f>IF(AND(H153="Umgesetzt",I153="Bestanden",OR(J153="Bestanden",J153="Entfällt geprüft"),OR(K153="Bestanden",K153="Entfällt geprüft"),OR(L153="Bestanden",L153="Entfällt geprüft"),M153&lt;&gt;""),"Abgenommen","Offen")</x:f>
        <x:v>Offen</x:v>
      </x:c>
      <x:c r="O153" s="3" t="str">
        <x:v>Bestehenden Ablauf für „Angehörige anleiten“ prüfen. Fehlende Datenfelder und Einzelfälle ergänzen, anschließend den genannten Abnahmefall nachweisen.</x:v>
      </x:c>
    </x:row>
    <x:row r="154" ht="44" customHeight="1">
      <x:c r="A154" s="3" t="str">
        <x:v>O-04</x:v>
      </x:c>
      <x:c r="B154" s="3" t="str">
        <x:v>O Beratung und Koordination</x:v>
      </x:c>
      <x:c r="C154" s="3" t="str">
        <x:v>Hilfsmittel organisieren</x:v>
      </x:c>
      <x:c r="D154" s="3" t="str">
        <x:v>Bedarf, Rezept, Lieferant, Status, Einweisung</x:v>
      </x:c>
      <x:c r="E154" s="3" t="str">
        <x:v>Bestellung zählt nicht als erfolgte Lieferung oder Einweisung.</x:v>
      </x:c>
      <x:c r="F154" s="3" t="str">
        <x:v>O-P02</x:v>
      </x:c>
      <x:c r="G154" s="3" t="str">
        <x:v>B-04, W-02</x:v>
      </x:c>
      <x:c r="H154" s="5" t="str">
        <x:v>Bestand zu prüfen</x:v>
      </x:c>
      <x:c r="I154" s="5" t="str">
        <x:v>Offen</x:v>
      </x:c>
      <x:c r="J154" s="5" t="str">
        <x:v>Offen</x:v>
      </x:c>
      <x:c r="K154" s="5" t="str">
        <x:v>Offen</x:v>
      </x:c>
      <x:c r="L154" s="5" t="str">
        <x:v>Offen</x:v>
      </x:c>
      <x:c r="M154" s="5" t="str"/>
      <x:c r="N154" s="3" t="str">
        <x:f>IF(AND(H154="Umgesetzt",I154="Bestanden",OR(J154="Bestanden",J154="Entfällt geprüft"),OR(K154="Bestanden",K154="Entfällt geprüft"),OR(L154="Bestanden",L154="Entfällt geprüft"),M154&lt;&gt;""),"Abgenommen","Offen")</x:f>
        <x:v>Offen</x:v>
      </x:c>
      <x:c r="O154" s="3" t="str">
        <x:v>Bestehenden Ablauf für „Hilfsmittel organisieren“ prüfen. Fehlende Datenfelder und Einzelfälle ergänzen, anschließend den genannten Abnahmefall nachweisen.</x:v>
      </x:c>
    </x:row>
    <x:row r="155" ht="44" customHeight="1">
      <x:c r="A155" s="3" t="str">
        <x:v>O-05</x:v>
      </x:c>
      <x:c r="B155" s="3" t="str">
        <x:v>O Beratung und Koordination</x:v>
      </x:c>
      <x:c r="C155" s="3" t="str">
        <x:v>Entlassmanagement übernehmen</x:v>
      </x:c>
      <x:c r="D155" s="3" t="str">
        <x:v>Überleitung, Diagnosen, Medikamente, Verordnungen, Lücken</x:v>
      </x:c>
      <x:c r="E155" s="3" t="str">
        <x:v>Ungeklärte Überleitungsdaten bleiben vor erster Durchführung sichtbar.</x:v>
      </x:c>
      <x:c r="F155" s="3" t="str">
        <x:v>O-P02</x:v>
      </x:c>
      <x:c r="G155" s="3" t="str">
        <x:v>B-04, W-02</x:v>
      </x:c>
      <x:c r="H155" s="5" t="str">
        <x:v>Bestand zu prüfen</x:v>
      </x:c>
      <x:c r="I155" s="5" t="str">
        <x:v>Offen</x:v>
      </x:c>
      <x:c r="J155" s="5" t="str">
        <x:v>Offen</x:v>
      </x:c>
      <x:c r="K155" s="5" t="str">
        <x:v>Offen</x:v>
      </x:c>
      <x:c r="L155" s="5" t="str">
        <x:v>Offen</x:v>
      </x:c>
      <x:c r="M155" s="5" t="str"/>
      <x:c r="N155" s="3" t="str">
        <x:f>IF(AND(H155="Umgesetzt",I155="Bestanden",OR(J155="Bestanden",J155="Entfällt geprüft"),OR(K155="Bestanden",K155="Entfällt geprüft"),OR(L155="Bestanden",L155="Entfällt geprüft"),M155&lt;&gt;""),"Abgenommen","Offen")</x:f>
        <x:v>Offen</x:v>
      </x:c>
      <x:c r="O155" s="3" t="str">
        <x:v>Bestehenden Ablauf für „Entlassmanagement übernehmen“ prüfen. Fehlende Datenfelder und Einzelfälle ergänzen, anschließend den genannten Abnahmefall nachweisen.</x:v>
      </x:c>
    </x:row>
    <x:row r="156" ht="44" customHeight="1">
      <x:c r="A156" s="3" t="str">
        <x:v>O-06</x:v>
      </x:c>
      <x:c r="B156" s="3" t="str">
        <x:v>O Beratung und Koordination</x:v>
      </x:c>
      <x:c r="C156" s="3" t="str">
        <x:v>Pflegegrad und Leistungsänderung</x:v>
      </x:c>
      <x:c r="D156" s="3" t="str">
        <x:v>Bescheid, Gültigkeit, Auswirkung, Beratung, Folgeauftrag</x:v>
      </x:c>
      <x:c r="E156" s="3" t="str">
        <x:v>Neue Anspruchslage verändert historische Abrechnung nicht rückwirkend ohne belegten Grund.</x:v>
      </x:c>
      <x:c r="F156" s="3" t="str">
        <x:v>O-P02</x:v>
      </x:c>
      <x:c r="G156" s="3" t="str">
        <x:v>B-04, W-02</x:v>
      </x:c>
      <x:c r="H156" s="5" t="str">
        <x:v>Teilweise umgesetzt</x:v>
      </x:c>
      <x:c r="I156" s="5" t="str">
        <x:v>Teilprüfung</x:v>
      </x:c>
      <x:c r="J156" s="5" t="str">
        <x:v>Offen</x:v>
      </x:c>
      <x:c r="K156" s="5" t="str">
        <x:v>Offen</x:v>
      </x:c>
      <x:c r="L156" s="5" t="str">
        <x:v>Offen</x:v>
      </x:c>
      <x:c r="M156" s="5" t="str">
        <x:v>CP178: Der vollständig gelieferte native client_document_events-Pool ist Teil des bestehenden privaten Aktenreads. Pflegegrad-Nachfolgerereignisse werden read-only ausschließlich über document_id, metadata_json.replacedDocumentId und client_documents.intake_document_id mit den vollständig erhaltenen Intake-/Akten-Dokumentoriginalen verbunden. Native Ereignis-, Dokument- und Akteur-UUID, rohe Mikrosekunden-/Offsetzeit, Version, Status und unbekannte Metadaten bleiben privat vollständig erhalten. Care-Level-Zeilen, Beratung und client_tasks bleiben ausdrücklich ungebunden, weil der gelieferte Bestand dafür keine native FK liefert; gleiche Grade, Titel, Texte, Zeiten oder Reihenfolgen werden nicht korreliert. 38 neue risikobasierte Fälle; betroffene Suiten 433/433; Gesamtlauf 8264/8264; tatsächliche kontrollierte Native-/Parentkomposition 41 Checks in 8 Szenarien mit exakten Tenant-/Clientfiltern, 0 Writes und 0 RPC. Keine Bescheidwirkung, Anspruchslage, Beratung, Folgeaufgabe, Durchführung oder Abrechnungswirkung abgeleitet. Actual React, Browser/Layout, Gesamt-Typecheck, Live-SDK/SQL/RLS/Feldrechte sowie Pflege-, Design- und Rechtsabnahme offen.</x:v>
      </x:c>
      <x:c r="N156" s="3" t="str">
        <x:f>IF(AND(H156="Umgesetzt",I156="Bestanden",OR(J156="Bestanden",J156="Entfällt geprüft"),OR(K156="Bestanden",K156="Entfällt geprüft"),OR(L156="Bestanden",L156="Entfällt geprüft"),M156&lt;&gt;""),"Abgenommen","Offen")</x:f>
        <x:v>Offen</x:v>
      </x:c>
      <x:c r="O156" s="3" t="str">
        <x:v>Der Bestand liefert keine native Zuordnung des Pflegegrad-Dokumentereignisses zu einer bestimmten client_care_levels-Zeile, Beratung oder Folgeaufgabe. Diese Lücke nicht heuristisch schließen. Als nächsten unabhängigen Punkt O-07 Therapien koordinieren auf vorhandene native Daten-, Rechte-, UI- und Historienpfade prüfen. O-06 erst mit echten Server-/RLS-/Fallnachweisen sowie React-/Browser-/breitem und schmalem Layout, Pflege-, Design- und Rechtsabnahme weiter abnehmen; historische Abrechnung unverändert lassen.</x:v>
      </x:c>
    </x:row>
    <x:row r="157" ht="44" customHeight="1">
      <x:c r="A157" s="3" t="str">
        <x:v>O-07</x:v>
      </x:c>
      <x:c r="B157" s="3" t="str">
        <x:v>O Beratung und Koordination</x:v>
      </x:c>
      <x:c r="C157" s="3" t="str">
        <x:v>Therapien koordinieren</x:v>
      </x:c>
      <x:c r="D157" s="3" t="str">
        <x:v>Therapie, Termine, Kontakte, Rückmeldung, Einwilligungsumfang</x:v>
      </x:c>
      <x:c r="E157" s="3" t="str">
        <x:v>Weitergabe verwendet nur erforderliche freigegebene Informationen.</x:v>
      </x:c>
      <x:c r="F157" s="3" t="str">
        <x:v>O-P03</x:v>
      </x:c>
      <x:c r="G157" s="3" t="str">
        <x:v>B-04, W-02</x:v>
      </x:c>
      <x:c r="H157" s="5" t="str">
        <x:v>Teilweise umgesetzt</x:v>
      </x:c>
      <x:c r="I157" s="5" t="str">
        <x:v>Teilprüfung</x:v>
      </x:c>
      <x:c r="J157" s="5" t="str">
        <x:v>Offen</x:v>
      </x:c>
      <x:c r="K157" s="5" t="str">
        <x:v>Offen</x:v>
      </x:c>
      <x:c r="L157" s="5" t="str">
        <x:v>Offen</x:v>
      </x:c>
      <x:c r="M157" s="5" t="str">
        <x:v>CP179: Der vollständig gelieferte native client_prescriptions-Pool ist Teil des privaten Aktenreads und wird im Rezepte-Tab read-only mit nativer UUID, unveränderten primitiven Verordnungsangaben, Dokumentreferenz sowie rohen Erstellungs-/Änderungszeiten angezeigt. Tenant-/Client-FKs, Seitenreihenfolge und alle unbekannten Originalfelder werden vollständig geprüft, privat erhalten und tief eingefroren; missing, own undefined, NULL, leer und ungeklärtes Format bleiben getrennt. Das vorhandene appointments-Schema liefert nur client_name und keine native client_id-Verknüpfung; auch Leistungserbringer und Folgeaufgaben sind nicht per FK verbunden. Deshalb keine Namens-/Titel-/Freitext-/Datums-/Reihenfolgenkorrelation und keine Aussage zu Gültigkeit, Durchführung, Therapieentscheidung, Kontakt, Freigabe oder Abschluss. 47 neue risikobasierte Fälle; betroffene Suiten 344/344; Gesamtlauf 8311/8311; tatsächliche kontrollierte Native-/Parentkomposition 38 Checks in 8 Szenarien mit exakten Tenant-/Clientfiltern, 0 Writes und 0 RPC. Actual React, Browser/Layout, Gesamt-Typecheck, Live-SDK/SQL/RLS/Feldrechte sowie Pflege-, Design- und Rechtsabnahme offen.</x:v>
      </x:c>
      <x:c r="N157" s="3" t="str">
        <x:f>IF(AND(H157="Umgesetzt",I157="Bestanden",OR(J157="Bestanden",J157="Entfällt geprüft"),OR(K157="Bestanden",K157="Entfällt geprüft"),OR(L157="Bestanden",L157="Entfällt geprüft"),M157&lt;&gt;""),"Abgenommen","Offen")</x:f>
        <x:v>Offen</x:v>
      </x:c>
      <x:c r="O157" s="3" t="str">
        <x:v>Die gelieferte Datenkarte verbindet Verordnungen nicht nativ mit Terminen, Therapeut:innen, Kontakten, Einwilligungsumfang oder Folgeaufträgen. Diese Lücke nicht über client_name, Titel, Freitext, Datum oder Reihenfolge schließen. Als nächsten unabhängigen Punkt O-08 Arztkommunikation nachhalten auf native Verordnungs-/Kontakt-/Bestätigungsrelationen prüfen; O-07 erst mit echten Server-/RLS-/Fallnachweisen, React-/Browser-/breitem und schmalem Layout sowie Pflege-, Design- und Rechtsabnahme weiter abnehmen.</x:v>
      </x:c>
    </x:row>
    <x:row r="158" ht="44" customHeight="1">
      <x:c r="A158" s="3" t="str">
        <x:v>O-08</x:v>
      </x:c>
      <x:c r="B158" s="3" t="str">
        <x:v>O Beratung und Koordination</x:v>
      </x:c>
      <x:c r="C158" s="3" t="str">
        <x:v>Arztkommunikation nachhalten</x:v>
      </x:c>
      <x:c r="D158" s="3" t="str">
        <x:v>Anlass, Kontaktversuch, Rückmeldung, Anordnung, Bestätigung</x:v>
      </x:c>
      <x:c r="E158" s="3" t="str">
        <x:v>Telefonische Rückmeldung wird nicht als automatisch unterschriebene ärztliche Verordnung ausgegeben.</x:v>
      </x:c>
      <x:c r="F158" s="3" t="str">
        <x:v>O-P03</x:v>
      </x:c>
      <x:c r="G158" s="3" t="str">
        <x:v>B-04, W-02</x:v>
      </x:c>
      <x:c r="H158" s="5" t="str">
        <x:v>Teilweise umgesetzt</x:v>
      </x:c>
      <x:c r="I158" s="5" t="str">
        <x:v>Teilprüfung</x:v>
      </x:c>
      <x:c r="J158" s="5" t="str">
        <x:v>Offen</x:v>
      </x:c>
      <x:c r="K158" s="5" t="str">
        <x:v>Offen</x:v>
      </x:c>
      <x:c r="L158" s="5" t="str">
        <x:v>Offen</x:v>
      </x:c>
      <x:c r="M158" s="5" t="str">
        <x:v>CP180: Im Rezepte-Tab lädt ein eigener ausschließlich lesbarer Webpfad unter aktuellem Parent-/Sensitive- und communication.view_center-Recht alle klientengebundenen communication_threads sowie für jede native Thread-UUID die vollständig gelieferten communication_messages, communication_participants, communication_attachments, communication_assignments, communication_read_receipts und klientengebundenen communication_audit_events. Jede Abfrage trägt exakte Tenant-/Client- beziehungsweise Tenant-/Threadfilter, leere Schlussseiten werden tatsächlich gelesen; native Kennungen, rohe Mikrosekunden-/Offsetzeiten, Bearbeitungs-/Löschfelder, Rollenangaben, unbekannte Originalfelder und ganze Nachrichten bleiben privat erhalten und tief eingefroren. Der Threadpool wird nach den Kindpools erneut gelesen; der Bestand ist dennoch kein atomarer Datenbanksnapshot. Das Schema liefert weder prescription_id noch verifizierte ärztliche Identität oder Signatur. Deshalb bleiben Rollenbezeichnung, telefonische Rückmeldung und document_id reine Originalangaben und werden niemals als unterschriebene Verordnung, Freigabe, Gültigkeit, Durchführung oder Abschluss ausgegeben. 121 neue risikobasierte Fälle; betroffene Klientenakten-Suiten 2437/2437; Gesamtlauf 8432/8432; kontrollierte Abfragen mit 0 Writes und 0 RPC. Actual React/Browser/Layout, Gesamt-Typecheck/Lint mangels lokaler Projektabhängigkeiten, Live-SDK/SQL/RLS/Feldrechte, Provider-/Outbound-Historie sowie Pflege-, Design- und Rechtsabnahme offen.</x:v>
      </x:c>
      <x:c r="N158" s="3" t="str">
        <x:f>IF(AND(H158="Umgesetzt",I158="Bestanden",OR(J158="Bestanden",J158="Entfällt geprüft"),OR(K158="Bestanden",K158="Entfällt geprüft"),OR(L158="Bestanden",L158="Entfällt geprüft"),M158&lt;&gt;""),"Abgenommen","Offen")</x:f>
        <x:v>Offen</x:v>
      </x:c>
      <x:c r="O158" s="3" t="str">
        <x:v>Der native Kommunikationskern liefert keine direkte Verordnungskennung, verifizierte Arztidentität, Signatur- oder Bestätigungsrelation und keinen atomaren Gesamtstand über alle Pools; phone_log-/Provider-Outbound-Historien sind nicht klienten-/threadnativ vollständig verbunden. Diese Lücken nicht über Rollenbezeichnung, Nachrichtentext, Dokumentkennung, Status, Zeit oder Reihenfolge schließen. O-08 erst mit echten Server-/RLS-/Feldrechte-/aktiven Fall- und Paralleländerungsnachweisen, Provider-/Outbound-Originalbezug, React-/Browser-/breitem und schmalem Layout sowie Pflege-, Design- und Rechtsabnahme weiter abnehmen. Als nächsten unabhängigen Punkt P-01 Hygieneplan zuordnen auf native Version-/Tätigkeits-/Verantwortungsrelationen prüfen.</x:v>
      </x:c>
    </x:row>
    <x:row r="159" ht="44" customHeight="1">
      <x:c r="A159" s="3" t="str">
        <x:v>P-01</x:v>
      </x:c>
      <x:c r="B159" s="3" t="str">
        <x:v>P Hygiene und Material</x:v>
      </x:c>
      <x:c r="C159" s="3" t="str">
        <x:v>Hygieneplan zuordnen</x:v>
      </x:c>
      <x:c r="D159" s="3" t="str">
        <x:v>Version, Tätigkeit, Schutzbedarf, Verantwortliche</x:v>
      </x:c>
      <x:c r="E159" s="3" t="str">
        <x:v>Beim Einsatz ist die gültige Anweisung erreichbar.</x:v>
      </x:c>
      <x:c r="F159" s="3" t="str">
        <x:v>P-P01</x:v>
      </x:c>
      <x:c r="G159" s="3" t="str">
        <x:v>A-05, Q-04</x:v>
      </x:c>
      <x:c r="H159" s="5" t="str">
        <x:v>Teilweise umgesetzt</x:v>
      </x:c>
      <x:c r="I159" s="5" t="str">
        <x:v>Teilprüfung</x:v>
      </x:c>
      <x:c r="J159" s="5" t="str">
        <x:v>Offen</x:v>
      </x:c>
      <x:c r="K159" s="5" t="str">
        <x:v>Offen</x:v>
      </x:c>
      <x:c r="L159" s="5" t="str">
        <x:v>Offen</x:v>
      </x:c>
      <x:c r="M159" s="5" t="str">
        <x:v>CP181: Die vorhandene native QM-Dokumentdetailansicht projiziert zusätzlich eine enge Hygieneplan-/Anweisungsevidenz aus dem bereits unter aktuellen qm.view- und qm.view_versions-Rechten gelieferten Dokument, allen gelieferten Fassungen und Lesebelegen. Ausschließlich die exakt per current_version_id referenzierte native Fassung wird mit unverändertem Inhalt, Nummer, Status, Freigabe-/Publikationsmetadaten und Mikrosekunden-/Offsetzeiten gezeigt; keine neuere, als published bezeichnete oder anders angeordnete Fassung ersetzt eine fehlende Referenz. Dokumenttyp, Tags, Reviewfrist und owner_role bleiben rohe Angaben. Titel, Tags, Status oder Verantwortungsbezeichnung klassifizieren keinen Hygieneplan und beweisen weder Personenidentität noch Einsatzgültigkeit. Das Schema liefert keine native Zuordnung zu Tätigkeit, Schutzbedarf oder Einsatzstelle; diese Relationen stehen ausdrücklich auf not_provided, Gültigkeit beim tatsächlichen Einsatz auf not_inferred. 41 neue risikobasierte Fälle, 246/246 betroffene QM-Prüfungen und 8473/8473 Gesamtlauf; keine neue Query, 0 Writes und 0 RPC. Actual React/Browser/Layout, Live-SDK/SQL/RLS, aktive Einsatz-/Tätigkeitsrelation sowie Pflege-, Design- und Rechtsabnahme offen.</x:v>
      </x:c>
      <x:c r="N159" s="3" t="str">
        <x:f>IF(AND(H159="Umgesetzt",I159="Bestanden",OR(J159="Bestanden",J159="Entfällt geprüft"),OR(K159="Bestanden",K159="Entfällt geprüft"),OR(L159="Bestanden",L159="Entfällt geprüft"),M159&lt;&gt;""),"Abgenommen","Offen")</x:f>
        <x:v>Offen</x:v>
      </x:c>
      <x:c r="O159" s="3" t="str">
        <x:v>Die vorhandenen qm_documents/qm_document_versions liefern Fassung, Inhalt, freie Tags, owner_role und aktuelle Headerreferenz, aber keine native Tätigkeits-, Schutzbedarfs-, Einsatzstellen- oder verantwortliche Profilrelation. Diese Lücke nicht über Titel, Tags, Status, Zeit, Rollenbezeichnung oder Lesebestätigung schließen. P-01 erst mit echter Einsatzzuordnung, Live-SDK/SQL/RLS/Feldrechten, Browser-/breitem und schmalem Layout sowie Pflege-, Design- und Rechtsabnahme weiter abnehmen. Als nächsten unabhängigen Punkt P-02 MRE und Infektionsschutz auf getrennten Verdachts-/Bestätigungsstatus, Quelle, Aktualität und Schutzmaßnahmen prüfen.</x:v>
      </x:c>
    </x:row>
    <x:row r="160" ht="44" customHeight="1">
      <x:c r="A160" s="3" t="str">
        <x:v>P-02</x:v>
      </x:c>
      <x:c r="B160" s="3" t="str">
        <x:v>P Hygiene und Material</x:v>
      </x:c>
      <x:c r="C160" s="3" t="str">
        <x:v>MRE und Infektionsschutz</x:v>
      </x:c>
      <x:c r="D160" s="3" t="str">
        <x:v>Status, Quelle, Schutzmaßnahmen, Aktualität, Zugriff</x:v>
      </x:c>
      <x:c r="E160" s="3" t="str">
        <x:v>Vermuteter und bestätigter Status bleiben unterscheidbar.</x:v>
      </x:c>
      <x:c r="F160" s="3" t="str">
        <x:v>P-P01</x:v>
      </x:c>
      <x:c r="G160" s="3" t="str">
        <x:v>A-05, Q-04</x:v>
      </x:c>
      <x:c r="H160" s="5" t="str">
        <x:v>Teilweise umgesetzt</x:v>
      </x:c>
      <x:c r="I160" s="5" t="str">
        <x:v>Teilprüfung</x:v>
      </x:c>
      <x:c r="J160" s="5" t="str">
        <x:v>Offen</x:v>
      </x:c>
      <x:c r="K160" s="5" t="str">
        <x:v>Offen</x:v>
      </x:c>
      <x:c r="L160" s="5" t="str">
        <x:v>Offen</x:v>
      </x:c>
      <x:c r="M160" s="5" t="str">
        <x:v>CP182: Die bestehende Web-Klientenakte zeigt unter dem aktuellen eigenen office.clients.view- und office.clients.view_sensitive-Lesekontext einen ausschließlich lesbaren nativen Auszug aus client_ambulatory_details. Der enge Selector liefert nur native Zeilen-, Mandant- und Klientenkennung, infection_notes, hygiene_notes sowie created_at/updated_at; die exakt klienten-/mandantengefilterte Zeile wird vor Auslieferung wiederholt gelesen und eine Änderung oder mehr als eine Zeile gesperrt. Ganze gelieferte Originale einschließlich unbekannter Felder bleiben privat tief eingefroren, während die UI ausschließlich primitive Feldzustände zeigt. Freitext bleibt mit Leer-/NULL-/Missing-/Undefined-Unterscheidung und Mikrosekunden-/Offsetzeiten unverändert. Das aktuelle Schema trennt Verdacht und bestätigten Befund nicht, besitzt keine native Quellen- oder konkrete Schutzmaßnahmenrelation und keine klinische Erhebungs-/Gültigkeitszeit. Daher bleiben suspectedStatus/confirmedStatus/sourceRelation/protectionMeasuresRelation not_provided und clinicalFreshness not_inferred; Begriffe, Reihenfolge und allgemeine Zeilenzeiten erzeugen keinen MRE-/Infektionsstatus, keine Isolation, Einsatzfreigabe, Durchführung oder Erledigung. 66 neue risikobasierte Fälle, 276/276 betroffene Akten-/Rechte-/Verlaufsprüfungen und 8539/8539 Gesamtlauf; pro erfolgreichem Abruf zwei kontrollierte SELECTs, 0 Writes und 0 RPC. Actual React/Browser/Layout, Live-SDK, deployed SQL/RLS/Feldrechte, strukturierte Status-/Quellen-/Maßnahmenhistorie sowie Pflege-, Design- und Rechtsabnahme offen.</x:v>
      </x:c>
      <x:c r="N160" s="3" t="str">
        <x:f>IF(AND(H160="Umgesetzt",I160="Bestanden",OR(J160="Bestanden",J160="Entfällt geprüft"),OR(K160="Bestanden",K160="Entfällt geprüft"),OR(L160="Bestanden",L160="Entfällt geprüft"),M160&lt;&gt;""),"Abgenommen","Offen")</x:f>
        <x:v>Offen</x:v>
      </x:c>
      <x:c r="O160" s="3" t="str">
        <x:v>Der vorhandene Vertrag liefert nur unstrukturierten infection_notes-/hygiene_notes-Freitext und allgemeine Zeilenmetadaten. Verdacht, bestätigter Befund, Erreger/MRE-Typ, Originalquelle, fachlich angeordnete Schutzmaßnahme, klinische Erhebungs-/Gültigkeitszeit und Historie dürfen daraus nicht abgeleitet werden. P-02 erst mit nativen getrennten Feldern/Relationen, tatsächlichen Live-SDK-/SQL-/RLS-/Feldrechten, Browser-/breitem und schmalem Layout sowie Pflege-, Design- und Rechtsabnahme weiter abnehmen. Als nächsten unabhängigen Punkt P-03 Verbrauchsmaterial verwalten auf Einsatzbezug, native Bestands-/Verbrauchsidentitäten und doppelte Abbuchung prüfen.</x:v>
      </x:c>
    </x:row>
    <x:row r="161" ht="44" customHeight="1">
      <x:c r="A161" s="3" t="str">
        <x:v>P-03</x:v>
      </x:c>
      <x:c r="B161" s="3" t="str">
        <x:v>P Hygiene und Material</x:v>
      </x:c>
      <x:c r="C161" s="3" t="str">
        <x:v>Verbrauchsmaterial verwalten</x:v>
      </x:c>
      <x:c r="D161" s="3" t="str">
        <x:v>Artikel, Einheit, Bestand, Mindestbestand, Lieferant</x:v>
      </x:c>
      <x:c r="E161" s="3" t="str">
        <x:v>Verbrauch besitzt Einsatzbezug und wird nicht doppelt abgebucht.</x:v>
      </x:c>
      <x:c r="F161" s="3" t="str">
        <x:v>P-P01</x:v>
      </x:c>
      <x:c r="G161" s="3" t="str">
        <x:v>A-05, Q-04</x:v>
      </x:c>
      <x:c r="H161" s="5" t="str">
        <x:v>Teilweise umgesetzt</x:v>
      </x:c>
      <x:c r="I161" s="5" t="str">
        <x:v>Teilprüfung</x:v>
      </x:c>
      <x:c r="J161" s="5" t="str">
        <x:v>Offen</x:v>
      </x:c>
      <x:c r="K161" s="5" t="str">
        <x:v>Offen</x:v>
      </x:c>
      <x:c r="L161" s="5" t="str">
        <x:v>Offen</x:v>
      </x:c>
      <x:c r="M161" s="5" t="str">
        <x:v>CP183: Das bestehende Web-Inventardashboard zeigt nun eine explizite, unveränderliche Vertragsgrenze für Verbrauchsmaterial. Der aktuelle Vertrag verwaltet ausschließlich einzeln identifizierte dauerhafte Inventarposten mit nativer Artikelkennung sowie Mitarbeitenden-Ausgabe/Rücknahme. Er liefert keine native Mengeneinheit, Mengen-/Mindestbestandsführung, Lieferantenrelation, Lagerbewegung, Verbrauchsereignis-, Pflegefall-/Einsatzrelation oder Idempotenzkennung gegen Doppelabbuchung; diese Zustände bleiben not_provided beziehungsweise not_verifiable und werden weder aus Artikelstatus noch Wundmaterial-Freitext abgeleitet. Der vorhandene Wundpfad kennzeichnet Materialangaben bereits ausdrücklich als Dokumentation ohne automatische Bestandsbuchung. 9 neue Vertrags-/Negativfälle, 126/126 betroffene Inventarprüfungen und 8548/8548 Gesamtlauf; keine neue Query, 0 Writes und 0 RPC. Tatsächliche React-/Browser-/breite und schmale Layoutprüfung, Live-SDK, deployed SQL/RLS/Feldrechte, native Verbrauchsmaterialtabellen samt Originalhistorie sowie Pflege-, Design- und Rechtsabnahme offen.</x:v>
      </x:c>
      <x:c r="N161" s="3" t="str">
        <x:f>IF(AND(H161="Umgesetzt",I161="Bestanden",OR(J161="Bestanden",J161="Entfällt geprüft"),OR(K161="Bestanden",K161="Entfällt geprüft"),OR(L161="Bestanden",L161="Entfällt geprüft"),M161&lt;&gt;""),"Abgenommen","Offen")</x:f>
        <x:v>Offen</x:v>
      </x:c>
      <x:c r="O161" s="3" t="str">
        <x:v>P-03 erst mit nativen Artikel-/Einheiten-/Mengen-/Mindestbestands-/Lieferantenfeldern, append-only Lagerbewegungen, eindeutiger Pflegefall-/Einsatzrelation und idempotenter Verbrauchsbuchung weiter abnehmen. Mapper dürfen vollständige Originalhistorien und Mikrosekundenzeiten nicht verlieren; tatsächliche Live-SDK-/SQL-/RLS-/Feldrechte, Browser-/Layout- sowie Pflege-, Design- und Rechtsabnahme nachweisen. Als nächsten unabhängigen Punkt P-04 Chargen und Haltbarkeit auf native Charge, Verfallsdatum, Bestandsposition, Sperr-/Entsorgungsereignis und Einsatzbezug prüfen.</x:v>
      </x:c>
    </x:row>
    <x:row r="162" ht="44" customHeight="1">
      <x:c r="A162" s="3" t="str">
        <x:v>P-04</x:v>
      </x:c>
      <x:c r="B162" s="3" t="str">
        <x:v>P Hygiene und Material</x:v>
      </x:c>
      <x:c r="C162" s="3" t="str">
        <x:v>Chargen und Haltbarkeit</x:v>
      </x:c>
      <x:c r="D162" s="3" t="str">
        <x:v>Charge, Verfallsdatum, Lagerort, betroffene Versorgung</x:v>
      </x:c>
      <x:c r="E162" s="3" t="str">
        <x:v>Rückruf lässt betroffene Bestände und dokumentierte Anwendungen finden.</x:v>
      </x:c>
      <x:c r="F162" s="3" t="str">
        <x:v>P-P02</x:v>
      </x:c>
      <x:c r="G162" s="3" t="str">
        <x:v>A-05, Q-04</x:v>
      </x:c>
      <x:c r="H162" s="5" t="str">
        <x:v>Teilweise umgesetzt</x:v>
      </x:c>
      <x:c r="I162" s="5" t="str">
        <x:v>Teilprüfung</x:v>
      </x:c>
      <x:c r="J162" s="5" t="str">
        <x:v>Offen</x:v>
      </x:c>
      <x:c r="K162" s="5" t="str">
        <x:v>Offen</x:v>
      </x:c>
      <x:c r="L162" s="5" t="str">
        <x:v>Offen</x:v>
      </x:c>
      <x:c r="M162" s="5" t="str">
        <x:v>CP184: Das bestehende Web-Inventardashboard zeigt zusätzlich eine explizite, unveränderliche Vertragsgrenze für Chargen und Haltbarkeit. Aktive Inventar-DTOs, Create-Input, inventory_items und Repository liefern keine native Chargen-/Loskennung, kein Verfallsdatum, keine chargenbezogene Bestandsposition sowie keine strukturierten Rückruf-, Sperr-, Entsorgungs- oder Anwendungsrelationen. Kaufdatum, Garantiefrist und Lagerort bleiben ausdrücklich Eigenschaften eines dauerhaften Arbeitsmittels; generische Auditmetadaten und Wundmaterial-Freitext werden nicht zu Chargenbuch oder dokumentierter Anwendung umgedeutet. Der Rückrufabgleich bleibt not_verifiable. 9 neue Vertrags-/Negativfälle, 135/135 betroffene Inventarprüfungen und 8557/8557 Gesamtlauf; keine neue Query, 0 Writes und 0 RPC. Tatsächliche React-/Browser-/breite und schmale Layoutprüfung, Live-SDK, deployed SQL/RLS/Feldrechte, native Chargen- und Anwendungsoriginalhistorien sowie Pflege-, Design- und Rechtsabnahme offen.</x:v>
      </x:c>
      <x:c r="N162" s="3" t="str">
        <x:f>IF(AND(H162="Umgesetzt",I162="Bestanden",OR(J162="Bestanden",J162="Entfällt geprüft"),OR(K162="Bestanden",K162="Entfällt geprüft"),OR(L162="Bestanden",L162="Entfällt geprüft"),M162&lt;&gt;""),"Abgenommen","Offen")</x:f>
        <x:v>Offen</x:v>
      </x:c>
      <x:c r="O162" s="3" t="str">
        <x:v>P-04 erst mit nativer Chargen-/Loskennung, Verfallsdatum, chargenbezogener Bestandsposition, append-only Rückruf-/Sperr-/Entsorgungshistorie und eindeutiger Pflegefall-/Einsatz-/Anwendungsrelation weiter abnehmen. Vollständige Originalhistorien und Mikrosekundenzeiten erhalten; tatsächliche Live-SDK-/SQL-/RLS-/Feldrechte, Browser-/Layout- sowie Pflege-, Design- und Rechtsabnahme nachweisen. Als nächsten unabhängigen Punkt P-05 Medizinprodukte und Wartung auf native Wartungs-, Einweisungs-, Freigabe- und Nutzungsrelationen prüfen.</x:v>
      </x:c>
    </x:row>
    <x:row r="163" ht="44" customHeight="1">
      <x:c r="A163" s="3" t="str">
        <x:v>P-05</x:v>
      </x:c>
      <x:c r="B163" s="3" t="str">
        <x:v>P Hygiene und Material</x:v>
      </x:c>
      <x:c r="C163" s="3" t="str">
        <x:v>Medizinprodukte und Wartung</x:v>
      </x:c>
      <x:c r="D163" s="3" t="str">
        <x:v>Gerät, Inventar, Wartung, Einweisung, Fälligkeit</x:v>
      </x:c>
      <x:c r="E163" s="3" t="str">
        <x:v>Nicht freigegebenes Gerät wird bei geplanter Nutzung sichtbar beanstandet.</x:v>
      </x:c>
      <x:c r="F163" s="3" t="str">
        <x:v>P-P02</x:v>
      </x:c>
      <x:c r="G163" s="3" t="str">
        <x:v>A-05, Q-04</x:v>
      </x:c>
      <x:c r="H163" s="5" t="str">
        <x:v>Teilweise umgesetzt</x:v>
      </x:c>
      <x:c r="I163" s="5" t="str">
        <x:v>Teilprüfung</x:v>
      </x:c>
      <x:c r="J163" s="5" t="str">
        <x:v>Offen</x:v>
      </x:c>
      <x:c r="K163" s="5" t="str">
        <x:v>Offen</x:v>
      </x:c>
      <x:c r="L163" s="5" t="str">
        <x:v>Offen</x:v>
      </x:c>
      <x:c r="M163" s="5" t="str">
        <x:v>CP185: Das Web-Inventardashboard zeigt zusätzlich eine unveränderliche Vertragsgrenze für Medizinprodukte, Wartung, Einweisung und Nutzungsfreigabe. InventoryItem/Create-Vertrag, inventory_items, device_management_profiles, generische Auditmetadaten und Repository liefern keine native Medizinprodukteklassifikation, Wartungs-/Prüf-/Kalibrierungsereignisse oder -historie, Fälligkeit, Einweisungs-/Qualifikationsrelation, Freigabeentscheidung oder geplante Nutzung. Gerätekategorie, Seriennummer, Hersteller, Modell, Kaufdatum, Garantie, aktueller Status „maintenance“ und MDM-Angaben werden nicht zu Wartungs- oder Freigabebelegen umgedeutet. Die Beanstandung einer geplanten Nutzung bleibt not_verifiable. 9 neue Vertrags-/Negativfälle, 144/144 Inventarprüfungen und 8566/8566 Gesamtlauf; keine neue Query, 0 Writes und 0 RPC. Tatsächliche React-/Browser-/breite und schmale Layoutprüfung, Live-SDK, deployed SQL/RLS/Feldrechte, native Wartungs-/Einweisungs-/Freigabeoriginalhistorien sowie Pflege-, Design- und Rechtsabnahme offen.</x:v>
      </x:c>
      <x:c r="N163" s="3" t="str">
        <x:f>IF(AND(H163="Umgesetzt",I163="Bestanden",OR(J163="Bestanden",J163="Entfällt geprüft"),OR(K163="Bestanden",K163="Entfällt geprüft"),OR(L163="Bestanden",L163="Entfällt geprüft"),M163&lt;&gt;""),"Abgenommen","Offen")</x:f>
        <x:v>Offen</x:v>
      </x:c>
      <x:c r="O163" s="3" t="str">
        <x:v>P-05 erst mit nativer Medizinprodukteklassifikation, append-only Wartungs-/Prüf-/Kalibrierungshistorie, Fälligkeit, Einweisungs-/Qualifikationsbeleg, Freigabeentscheidung und eindeutig verknüpfter geplanter Nutzung weiter abnehmen. Vollständige Originalhistorien und Mikrosekundenzeiten erhalten; tatsächliche Live-SDK-/SQL-/RLS-/Feldrechte, Browser-/Layout- sowie Pflege-, Design- und Rechtsabnahme nachweisen. Als nächsten unabhängigen Punkt P-06 Reinigung und Entsorgung auf native Reinigungs-, Freigabe-, Entsorgungs- und Nachweisrelationen prüfen.</x:v>
      </x:c>
    </x:row>
    <x:row r="164" ht="44" customHeight="1">
      <x:c r="A164" s="3" t="str">
        <x:v>P-06</x:v>
      </x:c>
      <x:c r="B164" s="3" t="str">
        <x:v>P Hygiene und Material</x:v>
      </x:c>
      <x:c r="C164" s="3" t="str">
        <x:v>Reinigung und Entsorgung</x:v>
      </x:c>
      <x:c r="D164" s="3" t="str">
        <x:v>Tätigkeit, Verantwortliche, Durchführung, Abweichung</x:v>
      </x:c>
      <x:c r="E164" s="3" t="str">
        <x:v>Hygienischer Nachweis bestätigt tatsächliche Durchführung.</x:v>
      </x:c>
      <x:c r="F164" s="3" t="str">
        <x:v>P-P02</x:v>
      </x:c>
      <x:c r="G164" s="3" t="str">
        <x:v>A-05, Q-04</x:v>
      </x:c>
      <x:c r="H164" s="5" t="str">
        <x:v>Teilweise umgesetzt</x:v>
      </x:c>
      <x:c r="I164" s="5" t="str">
        <x:v>Teilprüfung</x:v>
      </x:c>
      <x:c r="J164" s="5" t="str">
        <x:v>Offen</x:v>
      </x:c>
      <x:c r="K164" s="5" t="str">
        <x:v>Offen</x:v>
      </x:c>
      <x:c r="L164" s="5" t="str">
        <x:v>Offen</x:v>
      </x:c>
      <x:c r="M164" s="5" t="str">
        <x:v>CP186: Das Web-Inventardashboard zeigt zusätzlich eine unveränderliche Vertragsgrenze für Reinigung, Desinfektion und Entsorgung. Rückgabe-/Rücknahmevertrag, inventory_return_records, generische Auditmetadaten und Repository liefern keine native Tätigkeitskennung, verantwortliche Identität, tatsächliche Durchführungszeit, Reinigungs-/Desinfektionsverfahren oder -mittel, Abweichung, Entsorgungsereignis, hygienische Freigabe oder Belegrelation. Rückgabe, Vollständigkeit, Zustand, Geräte-Reset und Datenlöschung bleiben Inventarrücknahmeangaben; Notiz und Audit werden nicht zur tatsächlichen hygienischen Durchführung umgedeutet. actualExecutionProof bleibt not_verifiable. 8 neue Vertrags-/Negativfälle, 152/152 Inventarprüfungen und 8574/8574 Gesamtlauf; keine neue Query, 0 Writes und 0 RPC. Tatsächliche React-/Browser-/breite und schmale Layoutprüfung, Live-SDK, deployed SQL/RLS/Feldrechte, native Reinigungs-/Entsorgungsoriginalhistorien sowie Pflege-, Design- und Rechtsabnahme offen.</x:v>
      </x:c>
      <x:c r="N164" s="3" t="str">
        <x:f>IF(AND(H164="Umgesetzt",I164="Bestanden",OR(J164="Bestanden",J164="Entfällt geprüft"),OR(K164="Bestanden",K164="Entfällt geprüft"),OR(L164="Bestanden",L164="Entfällt geprüft"),M164&lt;&gt;""),"Abgenommen","Offen")</x:f>
        <x:v>Offen</x:v>
      </x:c>
      <x:c r="O164" s="3" t="str">
        <x:v>P-06 erst mit nativer Reinigungs-/Desinfektionstätigkeit, verantwortlicher Identität, tatsächlicher Durchführungszeit, Verfahren/Mittel, Abweichungs- und Belegrelation, hygienischer Freigabe sowie append-only Entsorgungsereignis weiter abnehmen. Vollständige Originalhistorien und Mikrosekundenzeiten erhalten; tatsächliche Live-SDK-/SQL-/RLS-/Feldrechte, Browser-/Layout- sowie Pflege-, Design- und Rechtsabnahme nachweisen. Als nächsten unabhängigen Punkt P-07 Fuhrpark und Fahrzeuge auf native Fahrzeug-, Einsatz-, Wartungs- und Übergaberelationen prüfen.</x:v>
      </x:c>
    </x:row>
    <x:row r="165" ht="44" customHeight="1">
      <x:c r="A165" s="3" t="str">
        <x:v>P-07</x:v>
      </x:c>
      <x:c r="B165" s="3" t="str">
        <x:v>P Hygiene und Material</x:v>
      </x:c>
      <x:c r="C165" s="3" t="str">
        <x:v>Hauswirtschaft und Alltagshilfe</x:v>
      </x:c>
      <x:c r="D165" s="3" t="str">
        <x:v>Auftrag, Tätigkeit, Zeit, Ausführung, Abweichung</x:v>
      </x:c>
      <x:c r="E165" s="3" t="str">
        <x:v>Haushaltsleistung erzeugt keinen Pflege- oder Behandlungspflegenachweis.</x:v>
      </x:c>
      <x:c r="F165" s="3" t="str">
        <x:v>P-P03</x:v>
      </x:c>
      <x:c r="G165" s="3" t="str">
        <x:v>A-05, Q-04</x:v>
      </x:c>
      <x:c r="H165" s="5" t="str">
        <x:v>Teilweise umgesetzt</x:v>
      </x:c>
      <x:c r="I165" s="5" t="str">
        <x:v>Teilprüfung</x:v>
      </x:c>
      <x:c r="J165" s="5" t="str">
        <x:v>Offen</x:v>
      </x:c>
      <x:c r="K165" s="5" t="str">
        <x:v>Offen</x:v>
      </x:c>
      <x:c r="L165" s="5" t="str">
        <x:v>Offen</x:v>
      </x:c>
      <x:c r="M165" s="5" t="str">
        <x:v>CP187: Die Web-Nachweisprüfung zeigt eine unveränderliche Abgrenzung zwischen Assist-Hauswirtschaft/Alltagshilfe und nativer Pflege-/Behandlungspflege. Assist-Leistungsbereich, Hauswirtschaftsaufgabe, Auftrag, geplante Zeit, Notiz, Assist-Einsatz und assist_visit_proofs bleiben Assist-Nachweise und werden nicht zu einem Grundpflege- oder Behandlungspflegenachweis befördert. Der vorhandene Hauswirtschafts-Mapper bleibt bei der nichtklinischen Kategorie haushalt; der allgemeine Assist-Aufgabenguard prüft medizinische Schlüsselwörter. Die unabhängige Prüfung stellte zugleich fest, dass validateAssistServiceCategory medizinische Begriffe für die Kategorie hauswirtschaft derzeit nicht zurückweist; diese serverseitige Kataloggrenze bleibt ausdrücklich offen. Native Pflege-Leistungsnachweise verwenden weiterhin die getrennte Tabelle pfleger_service_proofs, das kritische Recht pflege.proofs.create und einen eigenständigen Durchführungs-, Zeit-, Beschäftigten- und Rechtsgrundlagenvertrag. 8 neue Vertrags-/Negativfälle und 8582/8582 Gesamtlauf; keine neue Query, 0 Writes und 0 RPC. Tatsächliche Browser-/breite und schmale Layoutprüfung, Live-SDK, deployed SQL/RLS/Feldrechte, serverseitig unverwechselbare Leistungsart im Assist-Originalsnapshot sowie Pflege-, Design- und Rechtsabnahme offen.</x:v>
      </x:c>
      <x:c r="N165" s="3" t="str">
        <x:f>IF(AND(H165="Umgesetzt",I165="Bestanden",OR(J165="Bestanden",J165="Entfällt geprüft"),OR(K165="Bestanden",K165="Entfällt geprüft"),OR(L165="Bestanden",L165="Entfällt geprüft"),M165&lt;&gt;""),"Abgenommen","Offen")</x:f>
        <x:v>Offen</x:v>
      </x:c>
      <x:c r="O165" s="3" t="str">
        <x:v>P-07 erst weiter abnehmen, wenn validateAssistServiceCategory medizinische Begriffe auch für hauswirtschaft serverseitig zurückweist und der native Assist-Originalsnapshot Leistungsbereich, Tätigkeitsidentität, Ausführende, tatsächliche Mikrosekundenzeiten, Abweichungen und Belegrelation unverwechselbar erhält, ohne eine Umdeutung in Grund- oder Behandlungspflege zuzulassen. Live-SDK-/SQL-/RLS-/Feldrechte, Browser/Layout sowie Pflege-, Design- und Rechtsabnahme nachweisen. Als nächsten unabhängigen Punkt P-08 Schlüssel und Zugang auf Verlust, zuständige Bearbeitung, geschützte Zugangsdaten und vollständige Übergabe-/Rückgabehistorien vertiefen.</x:v>
      </x:c>
    </x:row>
    <x:row r="166" ht="44" customHeight="1">
      <x:c r="A166" s="3" t="str">
        <x:v>P-08</x:v>
      </x:c>
      <x:c r="B166" s="3" t="str">
        <x:v>P Hygiene und Material</x:v>
      </x:c>
      <x:c r="C166" s="3" t="str">
        <x:v>Schlüssel und Zugang</x:v>
      </x:c>
      <x:c r="D166" s="3" t="str">
        <x:v>Übergabe, berechtigte Person, Verwahrung, Verlust, Rückgabe</x:v>
      </x:c>
      <x:c r="E166" s="3" t="str">
        <x:v>Schlüsselverlust löst zuständige Bearbeitung aus und Zugangsdaten bleiben geschützt.</x:v>
      </x:c>
      <x:c r="F166" s="3" t="str">
        <x:v>P-P03</x:v>
      </x:c>
      <x:c r="G166" s="3" t="str">
        <x:v>A-05, Q-04</x:v>
      </x:c>
      <x:c r="H166" s="5" t="str">
        <x:v>Teilweise umgesetzt</x:v>
      </x:c>
      <x:c r="I166" s="5" t="str">
        <x:v>Teilprüfung</x:v>
      </x:c>
      <x:c r="J166" s="5" t="str">
        <x:v>Offen</x:v>
      </x:c>
      <x:c r="K166" s="5" t="str">
        <x:v>Offen</x:v>
      </x:c>
      <x:c r="L166" s="5" t="str">
        <x:v>Offen</x:v>
      </x:c>
      <x:c r="M166" s="5" t="str">
        <x:v>CP188: Das Web-Inventardashboard zeigt eine unveränderliche Schlüssel-/Zugangs-Nachweisgrenze. Native Ausgabe, aktueller Status, Verlustmeldung, Rückgabe und accessAccountRef bleiben Inventarsignale; sie belegen weder vollständige Übergabe-/Verwahrungs-/Rückgabehistorie noch zuständige Verlustbearbeitung oder Zugangssperre. Der aktuelle SQL-/Reportvertrag enthält keine zuständige Bearbeitungsperson, konkrete Reaktionshandlung, Schlüsselersatz-, Sperr- oder Widerrufsrelation. resolvedAt ist nur ein Zeitpunkt ohne Akteur und Handlung. accessAccountRef bleibt eine undurchsichtige Referenz; Zugangscodes, Passwörter und sonstiges Geheimnismaterial dürfen nicht erfasst oder angezeigt werden. 8 neue Vertrags-/Negativfälle; keine neue Query, kein Write, RPC oder Schema. Tatsächliche Browser-/Layoutprüfung, Live-SDK, deployed SQL/RLS/Feldrechte, vollständige append-only Originalhistorie sowie Pflege-, Design- und Rechtsabnahme offen.</x:v>
      </x:c>
      <x:c r="N166" s="3" t="str">
        <x:f>IF(AND(H166="Umgesetzt",I166="Bestanden",OR(J166="Bestanden",J166="Entfällt geprüft"),OR(K166="Bestanden",K166="Entfällt geprüft"),OR(L166="Bestanden",L166="Entfällt geprüft"),M166&lt;&gt;""),"Abgenommen","Offen")</x:f>
        <x:v>Offen</x:v>
      </x:c>
      <x:c r="O166" s="3" t="str">
        <x:v>P-08 erst weiter abnehmen, wenn Verlustbearbeitung mit nativer zuständiger Person, tatsächlichen Handlungen und Mikrosekunden-Ereigniszeiten, Zugangssperre/Widerruf oder Schlüsselersatz, geschützter nicht geheimer Referenz und vollständiger append-only Übergabe-/Verwahrungs-/Rückgabehistorie vorliegt. Deployed SQL/RLS/Feldrechte, aktive Mandant-/Pflegefall-/Rechtebindung, Browser/Layout sowie Pflege-, Design- und Rechtsabnahme nachweisen. Als nächsten unabhängigen Punkt P-09 Bestellungen und Lieferungen prüfen.</x:v>
      </x:c>
    </x:row>
    <x:row r="167" ht="44" customHeight="1">
      <x:c r="A167" s="3" t="str">
        <x:v>P-09</x:v>
      </x:c>
      <x:c r="B167" s="3" t="str">
        <x:v>P Hygiene und Material</x:v>
      </x:c>
      <x:c r="C167" s="3" t="str">
        <x:v>Bestellungen und Lieferungen</x:v>
      </x:c>
      <x:c r="D167" s="3" t="str">
        <x:v>Artikel, Bedarf, Bestellung, Lieferung, Differenz, Rechnung</x:v>
      </x:c>
      <x:c r="E167" s="3" t="str">
        <x:v>Bestellter Bestand wird erst nach tatsächlichem Eingang verfügbar.</x:v>
      </x:c>
      <x:c r="F167" s="3" t="str">
        <x:v>P-P03</x:v>
      </x:c>
      <x:c r="G167" s="3" t="str">
        <x:v>A-05, Q-04</x:v>
      </x:c>
      <x:c r="H167" s="5" t="str">
        <x:v>Teilweise umgesetzt</x:v>
      </x:c>
      <x:c r="I167" s="5" t="str">
        <x:v>Teilprüfung</x:v>
      </x:c>
      <x:c r="J167" s="5" t="str">
        <x:v>Offen</x:v>
      </x:c>
      <x:c r="K167" s="5" t="str">
        <x:v>Offen</x:v>
      </x:c>
      <x:c r="L167" s="5" t="str">
        <x:v>Offen</x:v>
      </x:c>
      <x:c r="M167" s="5" t="str">
        <x:v>CP189: Sichtbare unveränderliche Web-Nachweisgrenze im bestehenden Inventardashboard. Aktuelle InventoryItem-/Create-Typen, Migration 0135 und Supabase-Repository enthalten einzelne langlebige Inventarobjekte, Kaufdatum und Status, aber keine nativen Bedarfs-, Bestell-, Positions-, Liefer-, Wareneingangs-, Mengen-, Differenz-, Lieferanten- oder Rechnungsrelationen und kein Bestandsbuch. Erstellung eines Inventarobjekts mit Status available wird ausdrücklich nicht als Bestellung, Lieferung, tatsächlicher Wareneingang oder mengenändernde Bestandsbuchung gewertet. 8/8 risikobasierte Vertrags-/Negativfälle bestanden. Keine neue Abfrage, kein Write/RPC/Schema, Android unverändert. Keine React-/Browser-/Layout-, Live-SDK-, deployed SQL/RLS/Feldrechte-, Pflege-, Design- oder Rechtsabnahme.</x:v>
      </x:c>
      <x:c r="N167" s="3" t="str">
        <x:f>IF(AND(H167="Umgesetzt",I167="Bestanden",OR(J167="Bestanden",J167="Entfällt geprüft"),OR(K167="Bestanden",K167="Entfällt geprüft"),OR(L167="Bestanden",L167="Entfällt geprüft"),M167&lt;&gt;""),"Abgenommen","Offen")</x:f>
        <x:v>Offen</x:v>
      </x:c>
      <x:c r="O167" s="3" t="str">
        <x:v>Nativen Beschaffungs- und Lagervertrag mit Mandant, Artikel, Bedarf, Lieferant, Bestellung/Position, bestellter und eingegangener Menge, getrenntem tatsächlichem Wareneingangsereignis, Differenz, Rechnung und append-only Bestandsbuchung ergänzen. Verfügbarkeit ausschließlich atomar aus dem autorisierten Wareneingang buchen; Berechtigungen, Parallelität, Teil-/Fehl-/Überlieferung, Storno und Originalhistorie serverseitig prüfen. Danach echte SQL/RLS-, Browser-/Layout-, Pflege-, Design- und Rechtsabnahme.</x:v>
      </x:c>
    </x:row>
    <x:row r="168" ht="44" customHeight="1">
      <x:c r="A168" s="3" t="str">
        <x:v>P-10</x:v>
      </x:c>
      <x:c r="B168" s="3" t="str">
        <x:v>P Hygiene und Material</x:v>
      </x:c>
      <x:c r="C168" s="3" t="str">
        <x:v>Lagerorte und Inventur</x:v>
      </x:c>
      <x:c r="D168" s="3" t="str">
        <x:v>Lager, Sollbestand, gezählter Bestand, Abweichung, Freigabe</x:v>
      </x:c>
      <x:c r="E168" s="3" t="str">
        <x:v>Inventurdifferenz wird als nachvollziehbare Buchung statt stiller Überschreibung geführt.</x:v>
      </x:c>
      <x:c r="F168" s="3" t="str">
        <x:v>P-P04</x:v>
      </x:c>
      <x:c r="G168" s="3" t="str">
        <x:v>A-05, Q-04</x:v>
      </x:c>
      <x:c r="H168" s="5" t="str">
        <x:v>Teilweise umgesetzt</x:v>
      </x:c>
      <x:c r="I168" s="5" t="str">
        <x:v>Teilprüfung</x:v>
      </x:c>
      <x:c r="J168" s="5" t="str">
        <x:v>Offen</x:v>
      </x:c>
      <x:c r="K168" s="5" t="str">
        <x:v>Offen</x:v>
      </x:c>
      <x:c r="L168" s="5" t="str">
        <x:v>Offen</x:v>
      </x:c>
      <x:c r="M168" s="5" t="str">
        <x:v>CP190: Sichtbare unveränderliche Web-Nachweisgrenze im bestehenden Inventardashboard. InventoryLocation, InventoryItem, Migration 0135 und Repository ordnen einzelne Inventarobjekte Lagerort, Gebäude und Raum zu, enthalten aber keine Lager-/Sollmenge, Inventurzählung/-position, gezählte Menge, Differenz, Freigabe, Korrekturbuchung oder append-only Korrekturhistorie. Objektzahl, locationId, Status und allgemeiner Auditwert werden ausdrücklich nicht als tatsächliche Inventur oder Mengenbuchung gewertet; stille Mengenüberschreibung ist verboten. 8/8 risikobasierte Vertrags-/Negativfälle bestanden. Keine neue Abfrage, kein Write/RPC/Schema, Android unverändert. Keine React-/Browser-/Layout-, Live-SDK-, deployed SQL/RLS/Feldrechte-, Pflege-, Design- oder Rechtsabnahme.</x:v>
      </x:c>
      <x:c r="N168" s="3" t="str">
        <x:f>IF(AND(H168="Umgesetzt",I168="Bestanden",OR(J168="Bestanden",J168="Entfällt geprüft"),OR(K168="Bestanden",K168="Entfällt geprüft"),OR(L168="Bestanden",L168="Entfällt geprüft"),M168&lt;&gt;""),"Abgenommen","Offen")</x:f>
        <x:v>Offen</x:v>
      </x:c>
      <x:c r="O168" s="3" t="str">
        <x:v>Nativen Lager- und Inventurvertrag mit Mandant, Artikel, Lagerplatz, Sollbestand, Inventur/Zählposition, gezählter Menge, Differenz, Zählendenidentität, tatsächlicher Zählzeit, Freigabe und append-only Korrekturbuchung ergänzen. Sperren/Parallelität, Doppelzählung, Teilinventur, Korrekturstorno und unveränderte Originalhistorie serverseitig prüfen; niemals Mengen still überschreiben. Danach echte SQL/RLS-, Browser-/Layout-, Pflege-, Design- und Rechtsabnahme.</x:v>
      </x:c>
    </x:row>
    <x:row r="169" ht="44" customHeight="1">
      <x:c r="A169" s="3" t="str">
        <x:v>Q-01</x:v>
      </x:c>
      <x:c r="B169" s="3" t="str">
        <x:v>Q Personal und Delegation</x:v>
      </x:c>
      <x:c r="C169" s="3" t="str">
        <x:v>Mitarbeiterstammdaten</x:v>
      </x:c>
      <x:c r="D169" s="3" t="str">
        <x:v>Identität, Beschäftigung, Standort, Dienststatus</x:v>
      </x:c>
      <x:c r="E169" s="3" t="str">
        <x:v>Austritt entzieht Zugriff ohne historische Autorenangabe zu löschen.</x:v>
      </x:c>
      <x:c r="F169" s="3" t="str">
        <x:v>Q-P01</x:v>
      </x:c>
      <x:c r="G169" s="3" t="str">
        <x:v>A-03, A-04</x:v>
      </x:c>
      <x:c r="H169" s="5" t="str">
        <x:v>Teilweise umgesetzt</x:v>
      </x:c>
      <x:c r="I169" s="5" t="str">
        <x:v>Teilprüfung</x:v>
      </x:c>
      <x:c r="J169" s="5" t="str">
        <x:v>Offen</x:v>
      </x:c>
      <x:c r="K169" s="5" t="str">
        <x:v>Offen</x:v>
      </x:c>
      <x:c r="L169" s="5" t="str">
        <x:v>Offen</x:v>
      </x:c>
      <x:c r="M169" s="5" t="str">
        <x:v>CP191: Sichtbare unveränderliche Web-Nachweisgrenze in der Anstellungsansicht. Der native Employee-Detailvertrag liefert eine aktuelle Beschäftigtenidentität und Teil-Snapshotdaten, aber kein exit_date, keine Vertrags-/Rollen-/Beschäftigungsänderungshistorie und keinen vollständigen Personalaktenbeleg. Offboarding sperrt Portalaccount, Personalprofil und Pushgeräte über mehrere getrennte Clientwrites; E-Mail, Telefon und Cloud bleiben providerabhängig vorbereitet. Austrittsdatum oder inaktiver Status werden weder als vollständiger Zugriffsentzug noch als Nachweis unverändert erhaltener historischer Autorenangaben gewertet. 7/7 risikobasierte Vertrags-/Negativfälle bestanden. Keine neue Abfrage, kein Write/RPC/Schema; Android-Verhalten unverändert. Keine React-/Browser-/Layout-, Live-SDK-, deployed SQL/RLS/Feldrechte-, Pflege-, Design- oder Rechtsabnahme.</x:v>
      </x:c>
      <x:c r="N169" s="3" t="str">
        <x:f>IF(AND(H169="Umgesetzt",I169="Bestanden",OR(J169="Bestanden",J169="Entfällt geprüft"),OR(K169="Bestanden",K169="Entfällt geprüft"),OR(L169="Bestanden",L169="Entfällt geprüft"),M169&lt;&gt;""),"Abgenommen","Offen")</x:f>
        <x:v>Offen</x:v>
      </x:c>
      <x:c r="O169" s="3" t="str">
        <x:v>Nativen Personalstamm mit unveränderlicher Identität, Beschäftigungs-, Vertrags-, Rollen-, Standort-, Ein-/Austritts- und append-only Änderungshistorie verbinden. Austritt und sämtliche Portal-, Auth-, Geräte-, E-Mail-, Telefon-, Cloud- und Schlüsselzugänge in einer autoritativen serverseitigen, wiederholbaren Transaktion sperren; historische Autorenbezüge erhalten und Rücklesung/Parallelität/Rollback prüfen. Danach echte SQL/RLS-, Browser-/Layout-, Pflege-, Design- und Rechtsabnahme.</x:v>
      </x:c>
    </x:row>
    <x:row r="170" ht="44" customHeight="1">
      <x:c r="A170" s="3" t="str">
        <x:v>Q-02</x:v>
      </x:c>
      <x:c r="B170" s="3" t="str">
        <x:v>Q Personal und Delegation</x:v>
      </x:c>
      <x:c r="C170" s="3" t="str">
        <x:v>Qualifikationen</x:v>
      </x:c>
      <x:c r="D170" s="3" t="str">
        <x:v>Abschluss, Zusatzqualifikation, Nachweis, Gültigkeit</x:v>
      </x:c>
      <x:c r="E170" s="3" t="str">
        <x:v>Abgelaufene Nachweise verhindern passende automatische Zuordnung.</x:v>
      </x:c>
      <x:c r="F170" s="3" t="str">
        <x:v>Q-P01</x:v>
      </x:c>
      <x:c r="G170" s="3" t="str">
        <x:v>A-03, A-04</x:v>
      </x:c>
      <x:c r="H170" s="5" t="str">
        <x:v>Teilweise umgesetzt</x:v>
      </x:c>
      <x:c r="I170" s="5" t="str">
        <x:v>Teilprüfung</x:v>
      </x:c>
      <x:c r="J170" s="5" t="str">
        <x:v>Offen</x:v>
      </x:c>
      <x:c r="K170" s="5" t="str">
        <x:v>Offen</x:v>
      </x:c>
      <x:c r="L170" s="5" t="str">
        <x:v>Offen</x:v>
      </x:c>
      <x:c r="M170" s="5" t="str">
        <x:v>CP192: Sichtbare unveränderliche Web-Nachweisgrenze im vorhandenen Qualifikationsbereich. Native aktuelle Qualifikationszeilen enthalten Typ, Titel, Aussteller, Ausstellung, Gültigkeit, Dokument-ID sowie Prüfstatus/-zeit/-text. Die reine Gültigkeitslogik kennzeichnet einen erforderlichen abgelaufenen Nachweis als fehlend; der primäre Tourenvorschlag schließt Kandidaten ohne assignable und qualificationOk aus. Die Relation ist jedoch rollenbasiert und nicht zur konkreten Tätigkeit/Leistung; document_id lädt oder prüft kein Original. Append-only Qualifikations-/Prüfhistorie fehlt. Der getrennte ältere Vertretungspfad verwendet nur ein statisches Demo-Mapping ohne native Dokument-, Prüf- oder Ablaufdaten. 8/8 risikobasierte Vertrags-/Negativfälle bestanden. Keine neue Abfrage, kein Write/RPC/Schema, Android unverändert. Keine React-/Browser-/Layout-, Live-SDK-, deployed SQL/RLS/Feldrechte-, Pflege-, Design-, Rechts- oder klinische Kompetenzabnahme.</x:v>
      </x:c>
      <x:c r="N170" s="3" t="str">
        <x:f>IF(AND(H170="Umgesetzt",I170="Bestanden",OR(J170="Bestanden",J170="Entfällt geprüft"),OR(K170="Bestanden",K170="Entfällt geprüft"),OR(L170="Bestanden",L170="Entfällt geprüft"),M170&lt;&gt;""),"Abgenommen","Offen")</x:f>
        <x:v>Offen</x:v>
      </x:c>
      <x:c r="O170" s="3" t="str">
        <x:v>Nativen Abschluss-/Zusatzqualifikations-/Dokumentvertrag mit unveränderlichen Originalen, qualifizierter Prüfung, Gültigkeitsintervallen, konkretem Tätigkeits-/Leistungsbezug und append-only Historie verbinden. Sämtliche Vorschlags- und Zuweisungspfade müssen denselben autoritativen serverseitigen Gate mit Mandant, Person, Einsatzzeit, Tätigkeit, Status und Ablauf verwenden; abgelaufene, fehlende, ungeprüfte oder widersprüchliche Nachweise blockieren. Danach Parallelität/Rücklesung sowie echte SQL/RLS-, Browser-/Layout-, Pflege-, Design-, Rechts- und Kompetenzabnahme.</x:v>
      </x:c>
    </x:row>
    <x:row r="171" ht="155" customHeight="1">
      <x:c r="A171" s="3" t="str">
        <x:v>Q-03</x:v>
      </x:c>
      <x:c r="B171" s="3" t="str">
        <x:v>Q Personal und Delegation</x:v>
      </x:c>
      <x:c r="C171" s="3" t="str">
        <x:v>Aufgaben delegieren</x:v>
      </x:c>
      <x:c r="D171" s="3" t="str">
        <x:v>Tätigkeit, Kompetenz, Freigabe, Grenzen, Kontrolle</x:v>
      </x:c>
      <x:c r="E171" s="3" t="str">
        <x:v>Delegation ist zur konkreten Tätigkeit und Person nachvollziehbar.</x:v>
      </x:c>
      <x:c r="F171" s="3" t="str">
        <x:v>Q-P01</x:v>
      </x:c>
      <x:c r="G171" s="3" t="str">
        <x:v>A-03, A-04</x:v>
      </x:c>
      <x:c r="H171" s="5" t="str">
        <x:v>Teilweise umgesetzt</x:v>
      </x:c>
      <x:c r="I171" s="5" t="str">
        <x:v>Teilprüfung</x:v>
      </x:c>
      <x:c r="J171" s="5" t="str">
        <x:v>Offen</x:v>
      </x:c>
      <x:c r="K171" s="5" t="str">
        <x:v>Offen</x:v>
      </x:c>
      <x:c r="L171" s="5" t="str">
        <x:v>Offen</x:v>
      </x:c>
      <x:c r="M171" s="5" t="str">
        <x:v>CP33: Eigenautorin des Evaluationsbelegs muss tatsächlicher Auftrags-Ergebnisautorin entsprechen. Konkrete Qualifikationsgrundlage/Abweichung weiter Pflicht; keine Kompetenz oder medizinische Freigabe erfunden. 60 neue Fälle, 1626/1626 kumulativ. SQLreview nicht ausgeführt; native SDK/TSX/Web-/Fach-/Rechtsabnahmen offen.</x:v>
      </x:c>
      <x:c r="N171" s="3" t="str">
        <x:f>IF(AND(H171="Umgesetzt",I171="Bestanden",OR(J171="Bestanden",J171="Entfällt geprüft"),OR(K171="Bestanden",K171="Entfällt geprüft"),OR(L171="Bestanden",L171="Entfällt geprüft"),M171&lt;&gt;""),"Abgenommen","Offen")</x:f>
        <x:v>Offen</x:v>
      </x:c>
      <x:c r="O171" s="3" t="str">
        <x:v>Tätigkeitsbezogene strukturierte Kompetenz, Delegationsfreigabe, Grenzen und Aufsicht nativ verbinden. Fach-/Rechts-/Browserprüfung offen.</x:v>
      </x:c>
    </x:row>
    <x:row r="172" ht="44" customHeight="1">
      <x:c r="A172" s="3" t="str">
        <x:v>Q-04</x:v>
      </x:c>
      <x:c r="B172" s="3" t="str">
        <x:v>Q Personal und Delegation</x:v>
      </x:c>
      <x:c r="C172" s="3" t="str">
        <x:v>Einarbeitung und Einweisung</x:v>
      </x:c>
      <x:c r="D172" s="3" t="str">
        <x:v>Thema, Gerät, Datum, Prüfer, Bestätigung</x:v>
      </x:c>
      <x:c r="E172" s="3" t="str">
        <x:v>Teilnahme ersetzt keine separat erforderliche Kompetenzfeststellung.</x:v>
      </x:c>
      <x:c r="F172" s="3" t="str">
        <x:v>Q-P02</x:v>
      </x:c>
      <x:c r="G172" s="3" t="str">
        <x:v>A-03, A-04</x:v>
      </x:c>
      <x:c r="H172" s="5" t="str">
        <x:v>Teilweise umgesetzt</x:v>
      </x:c>
      <x:c r="I172" s="5" t="str">
        <x:v>Teilprüfung</x:v>
      </x:c>
      <x:c r="J172" s="5" t="str">
        <x:v>Offen</x:v>
      </x:c>
      <x:c r="K172" s="5" t="str">
        <x:v>Offen</x:v>
      </x:c>
      <x:c r="L172" s="5" t="str">
        <x:v>Offen</x:v>
      </x:c>
      <x:c r="M172" s="5" t="str">
        <x:v>CP193: Sichtbare unveränderliche Web-Nachweisgrenze im vorhandenen Schulungsdashboard. TrainingCourse und EmployeeTrainingRecord tragen Thema, Person, Zuweisungs-, Start-, Abschluss-, Ergebnis-, Gültigkeits- und teilweise Prüfmerkmale; die vorbereitete Migration enthält Zertifikat-, Quiz- und Auditzeilen. Es fehlen konkrete Geräte-/Versionsrelation, Bestätigung der eingewiesenen Person, geprüftes unveränderliches Dokumentoriginal, erzwungen append-only Einweisungshistorie und eine von Teilnahme/Quiz getrennte Kompetenzentscheidung zur konkreten Tätigkeit. Rollen-/Modul-/Berufsanforderungen sind kein Geräte- oder Tätigkeitsbezug. 8/8 risikobasierte Vertrags-/Negativfälle und 8629/8629 Gesamtlauf bestanden. Keine neue Abfrage, kein Write/RPC/Schema, Android unverändert. Keine React-/Browser-/Layout-, Live-SDK-, deployed SQL/RLS/Feldrechte-, Pflege-, Design-, Rechts- oder klinische Kompetenzabnahme.</x:v>
      </x:c>
      <x:c r="N172" s="3" t="str">
        <x:f>IF(AND(H172="Umgesetzt",I172="Bestanden",OR(J172="Bestanden",J172="Entfällt geprüft"),OR(K172="Bestanden",K172="Entfällt geprüft"),OR(L172="Bestanden",L172="Entfällt geprüft"),M172&lt;&gt;""),"Abgenommen","Offen")</x:f>
        <x:v>Offen</x:v>
      </x:c>
      <x:c r="O172" s="3" t="str">
        <x:v>Nativen Einweisungsvertrag mit Thema, konkretem Gerät und Fassung, Teilnehmer, Einweisendem/Prüfer, tatsächlichen Teilnahme-/Prüf-/Bestätigungszeiten, unveränderlichem Originalnachweis, Gültigkeit und append-only Historie ergänzen. Teilnahme, Abschluss und Quiz strikt von einer separat autorisierten person-, geräte- und tätigkeitsbezogenen Kompetenzentscheidung trennen. Danach Parallelität/Rücklesung sowie echte SQL/RLS-, Browser-/Layout-, Pflege-, Design-, Rechts- und Kompetenzabnahme.</x:v>
      </x:c>
    </x:row>
    <x:row r="173" ht="44" customHeight="1">
      <x:c r="A173" s="3" t="str">
        <x:v>Q-05</x:v>
      </x:c>
      <x:c r="B173" s="3" t="str">
        <x:v>Q Personal und Delegation</x:v>
      </x:c>
      <x:c r="C173" s="3" t="str">
        <x:v>Doppelte Besetzung</x:v>
      </x:c>
      <x:c r="D173" s="3" t="str">
        <x:v>Anlass, zeitliche Überschneidung, zwei geeignete Personen</x:v>
      </x:c>
      <x:c r="E173" s="3" t="str">
        <x:v>Tourenplanung reserviert beide Personen im erforderlichen Zeitraum.</x:v>
      </x:c>
      <x:c r="F173" s="3" t="str">
        <x:v>Q-P02</x:v>
      </x:c>
      <x:c r="G173" s="3" t="str">
        <x:v>A-03, A-04</x:v>
      </x:c>
      <x:c r="H173" s="5" t="str">
        <x:v>Teilweise umgesetzt</x:v>
      </x:c>
      <x:c r="I173" s="5" t="str">
        <x:v>Teilprüfung</x:v>
      </x:c>
      <x:c r="J173" s="5" t="str">
        <x:v>Offen</x:v>
      </x:c>
      <x:c r="K173" s="5" t="str">
        <x:v>Offen</x:v>
      </x:c>
      <x:c r="L173" s="5" t="str">
        <x:v>Offen</x:v>
      </x:c>
      <x:c r="M173" s="5" t="str">
        <x:v>CP194: Sichtbare unveränderliche Web-Nachweisgrenze in der vorhandenen Touren-/Vertretungsansicht. AssignmentWorkflowRecord, RoutePlan und assist_visits tragen jeweils genau eine Mitarbeitendenkennung pro geplantem Intervall. Der vorhandene Konfliktcheck verhindert Überlappungen für einen Kandidaten, und Vertretungsvorschläge prüfen Qualifikation und Verfügbarkeit einer alternativen Einzelperson. Es fehlen Anlass, zweite native Einsatzrelation, getrennte Eignungsprüfung beider Personen, atomare Reservierung desselben Intervalls und append-only Besetzungshistorie. Zwei Namen, Vorschläge oder parallele Einzelpläne werden nicht als Doppelbesetzung ausgegeben. 8/8 risikobasierte Vertrags-/Negativfälle und 8637/8637 Gesamtlauf bestanden. Keine neue Abfrage, kein Write/RPC/Schema, Android unverändert. Keine React-/Browser-/Layout-, Live-SDK-, deployed SQL/RLS/Feldrechte-, Pflege-, Design- oder Rechtsabnahme.</x:v>
      </x:c>
      <x:c r="N173" s="3" t="str">
        <x:f>IF(AND(H173="Umgesetzt",I173="Bestanden",OR(J173="Bestanden",J173="Entfällt geprüft"),OR(K173="Bestanden",K173="Entfällt geprüft"),OR(L173="Bestanden",L173="Entfällt geprüft"),M173&lt;&gt;""),"Abgenommen","Offen")</x:f>
        <x:v>Offen</x:v>
      </x:c>
      <x:c r="O173" s="3" t="str">
        <x:v>Nativen Doppelbesetzungsvertrag mit Anlass, gemeinsamer Einsatz-/Intervallkennung, zwei verschiedenen nativen Beschäftigtenidentitäten, getrennter zeitpunktbezogener Eignungs- und Berechtigungsprüfung sowie atomarer Reservierung beider Personen ergänzen. Konflikte, Änderung, Ausfall, Ersatz und append-only Historie für beide Relationen erhalten. Danach Parallelität/Rücklesung sowie echte SQL/RLS-, Browser-/Layout-, Pflege-, Design- und Rechtsabnahme.</x:v>
      </x:c>
    </x:row>
    <x:row r="174" ht="44" customHeight="1">
      <x:c r="A174" s="3" t="str">
        <x:v>Q-06</x:v>
      </x:c>
      <x:c r="B174" s="3" t="str">
        <x:v>Q Personal und Delegation</x:v>
      </x:c>
      <x:c r="C174" s="3" t="str">
        <x:v>Fortbildung und Fristen</x:v>
      </x:c>
      <x:c r="D174" s="3" t="str">
        <x:v>Pflicht, Termin, Teilnahme, Nachweis, Wiedervorlage</x:v>
      </x:c>
      <x:c r="E174" s="3" t="str">
        <x:v>Fällige Nachweise bleiben bis bestätigter Erfüllung offen.</x:v>
      </x:c>
      <x:c r="F174" s="3" t="str">
        <x:v>Q-P02</x:v>
      </x:c>
      <x:c r="G174" s="3" t="str">
        <x:v>A-03, A-04</x:v>
      </x:c>
      <x:c r="H174" s="5" t="str">
        <x:v>Teilweise umgesetzt</x:v>
      </x:c>
      <x:c r="I174" s="5" t="str">
        <x:v>Teilprüfung</x:v>
      </x:c>
      <x:c r="J174" s="5" t="str">
        <x:v>Offen</x:v>
      </x:c>
      <x:c r="K174" s="5" t="str">
        <x:v>Offen</x:v>
      </x:c>
      <x:c r="L174" s="5" t="str">
        <x:v>Offen</x:v>
      </x:c>
      <x:c r="M174" s="5" t="str">
        <x:v>CP195: Sichtbare unveränderliche Web-Nachweisgrenze in der vorhandenen Schulungsübersicht. Das vorbereitete Schema trennt Pflichtregel, Zuweisung mit Frist, Schulungsdatensatz, Zertifikat und Erinnerung; Bearbeitungs-, Abschluss-, Prüf- und Gültigkeitszeiten sind teilweise vorhanden. Zuweisung, Termin, Erinnerung, Bestätigung oder Status `completed` werden nicht als bestätigte Erfüllung ausgegeben. Es fehlen unveränderliches Original, append-only Pflichthistorie, exakt begründete Gültigkeitsentscheidung und produktive Live-Persistenz; die vorhandene Gültigkeit wird aus Verarbeitungszeit und 30-Tage-Monaten berechnet. 9/9 risikobasierte Vertrags-/Negativfälle und 8646/8646 Gesamtlauf bestanden. Keine neue Abfrage, kein Write/RPC/Schema, Android unverändert. Keine React-/Browser-/Layout-, Live-SDK-, deployed SQL/RLS/Feldrechte-, Pflege-, Design- oder Rechtsabnahme.</x:v>
      </x:c>
      <x:c r="N174" s="3" t="str">
        <x:f>IF(AND(H174="Umgesetzt",I174="Bestanden",OR(J174="Bestanden",J174="Entfällt geprüft"),OR(K174="Bestanden",K174="Entfällt geprüft"),OR(L174="Bestanden",L174="Entfällt geprüft"),M174&lt;&gt;""),"Abgenommen","Offen")</x:f>
        <x:v>Offen</x:v>
      </x:c>
      <x:c r="O174" s="3" t="str">
        <x:v>Nativen Fortbildungspflichtvertrag mit unveränderlicher Regel-/Fassungshistorie, expliziter Zuweisung und Frist, bestätigtem Teilnahmeereignis, unveränderlichem Originalnachweis, begründeter Gültigkeitsentscheidung und Wiedervorlage ergänzen. Erinnerung und Kenntnisnahme strikt von Erfüllung trennen; Mikrosekunden, ursprüngliche Vereinbarung und vollständige Historie erhalten. Danach Rücklesung/Parallelität sowie echte SQL/RLS-, Browser-/Layout-, Pflege-, Design- und Rechtsabnahme.</x:v>
      </x:c>
    </x:row>
    <x:row r="175" ht="155" customHeight="1">
      <x:c r="A175" s="3" t="str">
        <x:v>Q-07</x:v>
      </x:c>
      <x:c r="B175" s="3" t="str">
        <x:v>Q Personal und Delegation</x:v>
      </x:c>
      <x:c r="C175" s="3" t="str">
        <x:v>Vertretung und Bereitschaft</x:v>
      </x:c>
      <x:c r="D175" s="3" t="str">
        <x:v>Zeitraum, Zuständigkeit, Erreichbarkeit, Befugnis</x:v>
      </x:c>
      <x:c r="E175" s="3" t="str">
        <x:v>Vertretung erbt keine pauschalen unbegrenzten Zugriffsrechte.</x:v>
      </x:c>
      <x:c r="F175" s="3" t="str">
        <x:v>Q-P03</x:v>
      </x:c>
      <x:c r="G175" s="3" t="str">
        <x:v>A-03, A-04</x:v>
      </x:c>
      <x:c r="H175" s="5" t="str">
        <x:v>Teilweise umgesetzt</x:v>
      </x:c>
      <x:c r="I175" s="5" t="str">
        <x:v>Teilprüfung</x:v>
      </x:c>
      <x:c r="J175" s="5" t="str">
        <x:v>Offen</x:v>
      </x:c>
      <x:c r="K175" s="5" t="str">
        <x:v>Offen</x:v>
      </x:c>
      <x:c r="L175" s="5" t="str">
        <x:v>Offen</x:v>
      </x:c>
      <x:c r="M175" s="5" t="str">
        <x:v>CP33: Zuständigkeits-/Friständerung und Wiedereröffnung begründen neue Beobachtungsgrenze; alter Beleg erledigt neuen Auftrag nicht. CP197: Sichtbare unveränderliche Befugnisgrenze in der vorhandenen Web-Touren-/Vertretungsansicht. Abwesenheit und Verfügbarkeit führen Zeiträume und native Personen; Ersatzanfragen führen Original-, Vorschlags- und zugewiesene Person; Bereitschaft bleibt ein Zeiteintrag, der Tourenvorschlag prüft Qualifikation und Verfügbarkeit. Es fehlen bestätigter Erreichbarkeitskanal, befristeter konkreter Befugnisumfang, Rechteablauf/Widerruf und erzwungene append-only Deckungshistorie. Auswahl, Zuweisung und Bereitschaft übertragen keine Rolle oder Rechte. 8/8 risikobasierte Vertrags-/Negativfälle und 8686/8686 Gesamtlauf bestanden. Keine neue Abfrage, kein Write/RPC/Schema, Android unverändert. Keine React-/Browser-/Layout-, Live-SDK-, deployed SQL/RLS/Feldrechte-, Pflege-, Design- oder Rechtsabnahme.</x:v>
      </x:c>
      <x:c r="N175" s="3" t="str">
        <x:f>IF(AND(H175="Umgesetzt",I175="Bestanden",OR(J175="Bestanden",J175="Entfällt geprüft"),OR(K175="Bestanden",K175="Entfällt geprüft"),OR(L175="Bestanden",L175="Entfällt geprüft"),M175&lt;&gt;""),"Abgenommen","Offen")</x:f>
        <x:v>Offen</x:v>
      </x:c>
      <x:c r="O175" s="3" t="str">
        <x:v>Nativen Vertretungs-/Bereitschaftsvertrag mit Zeitraum, zuständiger Person, bestätigtem Erreichbarkeitskanal, konkretem Zweck und erlaubten Handlungen, getrennt autorisierten befristeten Rechten sowie Widerruf ergänzen. Abwesenheits-/Einsatzbezug, Mikrosekunden, Änderungsgrund und append-only Historie erhalten. Danach Parallelität sowie echte SQL/RLS-, Browser-/Layout-, Pflege-, Design- und Rechtsabnahme.</x:v>
      </x:c>
    </x:row>
    <x:row r="176" ht="44" customHeight="1">
      <x:c r="A176" s="3" t="str">
        <x:v>Q-08</x:v>
      </x:c>
      <x:c r="B176" s="3" t="str">
        <x:v>Q Personal und Delegation</x:v>
      </x:c>
      <x:c r="C176" s="3" t="str">
        <x:v>Arbeitsschutz und Belastung</x:v>
      </x:c>
      <x:c r="D176" s="3" t="str">
        <x:v>Gefährdung, Maßnahme, Meldung, zuständige Stelle</x:v>
      </x:c>
      <x:c r="E176" s="3" t="str">
        <x:v>Pflegefremde Personalangaben erscheinen nicht im Klientenportal.</x:v>
      </x:c>
      <x:c r="F176" s="3" t="str">
        <x:v>Q-P03</x:v>
      </x:c>
      <x:c r="G176" s="3" t="str">
        <x:v>A-03, A-04</x:v>
      </x:c>
      <x:c r="H176" s="5" t="str">
        <x:v>Teilweise umgesetzt</x:v>
      </x:c>
      <x:c r="I176" s="5" t="str">
        <x:v>Teilprüfung</x:v>
      </x:c>
      <x:c r="J176" s="5" t="str">
        <x:v>Offen</x:v>
      </x:c>
      <x:c r="K176" s="5" t="str">
        <x:v>Offen</x:v>
      </x:c>
      <x:c r="L176" s="5" t="str">
        <x:v>Offen</x:v>
      </x:c>
      <x:c r="M176" s="5" t="str">
        <x:v>CP198: Sichtbare unveränderliche Portalgrenze im internen Personal-Compliance-Cockpit. Vorbereitete Unterweisungs- und Trainingsverträge führen Beschäftigtenidentität, Status und Teilnachweise; ein nativer Arbeitsschutzvertrag für Gefährdung, Maßnahme, Meldung und zuständige Stelle fehlt. Anwendungsguards sperren Klient:innen- und Familienportale, und der Klientenprofilservice liest nur explizit klientenbezogene Quellen. Die vorbereiteten SQL-RLS-Policies sind jedoch nur mandantenweit und belegen keine rollen- oder feldbezogene Datenbanktrennung; Navigation oder Projektion allein gelten nicht als serverseitige Isolation. 8/8 risikobasierte Vertrags-/Negativfälle und 8694/8694 Gesamtlauf bestanden. Kein SQL angewendet, keine neue Query, kein Write/RPC/Schema, Android unverändert. Keine React-/Browser-/Layout-, Live-SDK-, deployed SQL/RLS/Feldrechte-, Pflege-, Design- oder Rechtsabnahme.</x:v>
      </x:c>
      <x:c r="N176" s="3" t="str">
        <x:f>IF(AND(H176="Umgesetzt",I176="Bestanden",OR(J176="Bestanden",J176="Entfällt geprüft"),OR(K176="Bestanden",K176="Entfällt geprüft"),OR(L176="Bestanden",L176="Entfällt geprüft"),M176&lt;&gt;""),"Abgenommen","Offen")</x:f>
        <x:v>Offen</x:v>
      </x:c>
      <x:c r="O176" s="3" t="str">
        <x:v>Nativen Arbeitsschutzvertrag mit Beschäftigtenbezug, Gefährdung, Maßnahme, tatsächlicher Meldung, zuständiger Stelle, Mikrosekunden-Zeiten, Änderungsgrund und append-only Historie ergänzen. Klient:innen-/Familienportal auf Datenbankebene explizit ausschließen und Employee-Self-/interne Rechte getrennt modellieren; anschließend echte SQL/RLS-, API-, Browser-/Layout-, Pflege-, Design- und Rechtsabnahme.</x:v>
      </x:c>
    </x:row>
    <x:row r="177" ht="44" customHeight="1">
      <x:c r="A177" s="3" t="str">
        <x:v>Q-09</x:v>
      </x:c>
      <x:c r="B177" s="3" t="str">
        <x:v>Q Personal und Delegation</x:v>
      </x:c>
      <x:c r="C177" s="3" t="str">
        <x:v>Lohnrelevante Zeiten</x:v>
      </x:c>
      <x:c r="D177" s="3" t="str">
        <x:v>Arbeitszeit, Fahrt, Bereitschaft, Zuschlag, Freigabe, Export</x:v>
      </x:c>
      <x:c r="E177" s="3" t="str">
        <x:v>Abrechnung verwendet freigegebene Zeiten und bleibt mit Ursprungsereignissen abgleichbar.</x:v>
      </x:c>
      <x:c r="F177" s="3" t="str">
        <x:v>Q-P03</x:v>
      </x:c>
      <x:c r="G177" s="3" t="str">
        <x:v>A-03, A-04</x:v>
      </x:c>
      <x:c r="H177" s="5" t="str">
        <x:v>Teilweise umgesetzt</x:v>
      </x:c>
      <x:c r="I177" s="5" t="str">
        <x:v>Teilprüfung</x:v>
      </x:c>
      <x:c r="J177" s="5" t="str">
        <x:v>Offen</x:v>
      </x:c>
      <x:c r="K177" s="5" t="str">
        <x:v>Offen</x:v>
      </x:c>
      <x:c r="L177" s="5" t="str">
        <x:v>Offen</x:v>
      </x:c>
      <x:c r="M177" s="5" t="str">
        <x:v>Checkpoint 199: Sichtbare unveränderliche Nachweisgrenze im Web-Arbeitszeitexport. Der geprüfte P2.2/P2.3-Pfad verlangt freigegebene, nicht blockierende Reviews, hält Beschäftigten-/Review-/Ursprungsreferenz und Export-Payload-Hash und führt Korrekturexporte über eine Supersede-Kette, ohne frühere Items für authentifizierte Benutzer änderbar zu machen. Planzeit und der gesperrte Alt-Sitzungsexport gelten nicht als Lohnfakt. Review-Kinds decken Fahrt/Bereitschaft nicht vollständig ab; Zuschläge und mikrosekundengenaue Originalereignisse fehlen. 8 neue Vertrags-/Negativfälle, 8702/8702 Gesamtlauf bestanden. Browser/Live-SDK/deployed SQL/RLS/Feldrechte sowie Pflege/Design/Recht offen.</x:v>
      </x:c>
      <x:c r="N177" s="3" t="str">
        <x:f>IF(AND(H177="Umgesetzt",I177="Bestanden",OR(J177="Bestanden",J177="Entfällt geprüft"),OR(K177="Bestanden",K177="Entfällt geprüft"),OR(L177="Bestanden",L177="Entfällt geprüft"),M177&lt;&gt;""),"Abgenommen","Offen")</x:f>
        <x:v>Offen</x:v>
      </x:c>
      <x:c r="O177" s="3" t="str">
        <x:v>Q-09 erst mit vollständig nativ angebundenen tatsächlichen Arbeits-, Fahrt- und Bereitschaftsereignissen, strukturierten Zuschlägen, unveränderten Mikrosekunden-Originalen sowie ausgerolltem SQL/RLS-/Feldrechte- und End-to-End-Exportnachweis weiter abnehmen. Planzeiten, Tourreihenfolge oder Legacy-Sitzungsexporte nicht als freigegebene Lohnfakten verwenden. Als nächsten unabhängigen Punkt Q-10 Abwesenheit und Rückkehr auf native Abwesenheitsentscheidung, tatsächliche Rückkehr, Einsatzfähigkeit, befristete Einschränkungen, Rechte und vollständige Originalhistorie prüfen.</x:v>
      </x:c>
    </x:row>
    <x:row r="178" ht="44" customHeight="1">
      <x:c r="A178" s="3" t="str">
        <x:v>Q-10</x:v>
      </x:c>
      <x:c r="B178" s="3" t="str">
        <x:v>Q Personal und Delegation</x:v>
      </x:c>
      <x:c r="C178" s="3" t="str">
        <x:v>Abwesenheit und Rückkehr</x:v>
      </x:c>
      <x:c r="D178" s="3" t="str">
        <x:v>Urlaub, Krankheit, Zeitraum, Freigabe, Planfolge</x:v>
      </x:c>
      <x:c r="E178" s="3" t="str">
        <x:v>Vertraulicher Abwesenheitsgrund wird nicht in Klienteninformationen veröffentlicht.</x:v>
      </x:c>
      <x:c r="F178" s="3" t="str">
        <x:v>Q-P04</x:v>
      </x:c>
      <x:c r="G178" s="3" t="str">
        <x:v>A-03, A-04</x:v>
      </x:c>
      <x:c r="H178" s="5" t="str">
        <x:v>Teilweise umgesetzt</x:v>
      </x:c>
      <x:c r="I178" s="5" t="str">
        <x:v>Teilprüfung</x:v>
      </x:c>
      <x:c r="J178" s="5" t="str">
        <x:v>Offen</x:v>
      </x:c>
      <x:c r="K178" s="5" t="str">
        <x:v>Offen</x:v>
      </x:c>
      <x:c r="L178" s="5" t="str">
        <x:v>Offen</x:v>
      </x:c>
      <x:c r="M178" s="5" t="str">
        <x:v>Checkpoint 200: Sichtbare unveränderliche Nachweisgrenze im Web-Abwesenheitsworkflow. Der vorhandene Klientenhinweis wurde dynamisch mit vertraulichen Testdaten auf employeeId, startsAt, endsAt und category=unavailable begrenzt; der Kalenderpfad verlangt für Klientenbezug eine ausdrückliche Portal-Freigabe und der Abwesenheitspayload setzt sie nicht. Planprojektion verwendet nur den typisierten Abwesenheitstitel. Native Abwesenheit führt Entscheidung und Zeitraum, aber kein tatsächliches Rückkehrereignis, keine daran gebundene Einsatzfähigkeitsentscheidung, keine befristeten Einschränkungen und keine append-only Entscheidungskette. 8 neue Vertrags-/Negativfälle, 8710/8710 Gesamtlauf bestanden. Browser/Live-SDK/deployed SQL/RLS/Feldrechte sowie Pflege/Design/Recht offen.</x:v>
      </x:c>
      <x:c r="N178" s="3" t="str">
        <x:f>IF(AND(H178="Umgesetzt",I178="Bestanden",OR(J178="Bestanden",J178="Entfällt geprüft"),OR(K178="Bestanden",K178="Entfällt geprüft"),OR(L178="Bestanden",L178="Entfällt geprüft"),M178&lt;&gt;""),"Abgenommen","Offen")</x:f>
        <x:v>Offen</x:v>
      </x:c>
      <x:c r="O178" s="3" t="str">
        <x:v>Q-10 erst mit nativem tatsächlichem Rückkehrereignis, verantwortlicher Entscheidung, getrennt dokumentierter Einsatzfähigkeit, befristeten Einschränkungen/Widerruf und unveränderlicher Originalhistorie weiter abnehmen. Abwesenheitsende oder Status abgeschlossen nicht als Rückkehr oder uneingeschränkte Einsatzfreigabe verwenden. Klientenportaltrennung in echter Datenbank und Browser prüfen. Als nächsten unabhängigen Punkt R-01 Dienstplan erstellen auf Planversion, Freigabe, Gültigkeit, Rollen, Konflikte, Empfang und Originalhistorie prüfen.</x:v>
      </x:c>
    </x:row>
    <x:row r="179" ht="44" customHeight="1">
      <x:c r="A179" s="3" t="str">
        <x:v>R-01</x:v>
      </x:c>
      <x:c r="B179" s="3" t="str">
        <x:v>R Dienst und Tourenplanung</x:v>
      </x:c>
      <x:c r="C179" s="3" t="str">
        <x:v>Dienstplan erstellen</x:v>
      </x:c>
      <x:c r="D179" s="3" t="str">
        <x:v>Verfügbarkeit, Schicht, Abwesenheit, Standort, Qualifikation</x:v>
      </x:c>
      <x:c r="E179" s="3" t="str">
        <x:v>Überlappung und fehlende Verfügbarkeit werden vor Freigabe erkannt.</x:v>
      </x:c>
      <x:c r="F179" s="3" t="str">
        <x:v>R-P01</x:v>
      </x:c>
      <x:c r="G179" s="3" t="str">
        <x:v>B-07, Q-02</x:v>
      </x:c>
      <x:c r="H179" s="5" t="str">
        <x:v>Teilweise umgesetzt</x:v>
      </x:c>
      <x:c r="I179" s="5" t="str">
        <x:v>Teilprüfung</x:v>
      </x:c>
      <x:c r="J179" s="5" t="str">
        <x:v>Offen</x:v>
      </x:c>
      <x:c r="K179" s="5" t="str">
        <x:v>Offen</x:v>
      </x:c>
      <x:c r="L179" s="5" t="str">
        <x:v>Offen</x:v>
      </x:c>
      <x:c r="M179" s="5" t="str">
        <x:v>Checkpoint 201: Sichtbare unveränderliche Freigabegrenze im Web-Dienstplan. Gelieferte Entwürfe, freigegebene und im Büro bestätigte Schichten sowie fehlende native Mitarbeiterkennungen bleiben getrennt. Der kontrollierte RPC erhält den unveränderten Mikrosekunden-Zeilenstand; der vorhandene Serververtrag prüft vor Veröffentlichung Monatsverfügbarkeit, Sperrzeiten, Abwesenheit, aktive Pflegekraft, Überlappung und Standardruhezeit und sperrt direkte authentifizierte Tabellenwrites. Einzelstatus geplant/bestätigt ist aber keine Gesamtplanversion, kein Gültigkeitszeitraum, kein Veröffentlichungs- oder Empfangsbeleg, kein Ist-Dienst und keine vollständig gebundene Originalhistorie. 8 neue Vertrags-/Negativfälle, 8718/8718 Gesamtlauf bestanden. Browser/deployed SQL/RLS/Feldrechte sowie Pflege/Design/Recht offen.</x:v>
      </x:c>
      <x:c r="N179" s="3" t="str">
        <x:f>IF(AND(H179="Umgesetzt",I179="Bestanden",OR(J179="Bestanden",J179="Entfällt geprüft"),OR(K179="Bestanden",K179="Entfällt geprüft"),OR(L179="Bestanden",L179="Entfällt geprüft"),M179&lt;&gt;""),"Abgenommen","Offen")</x:f>
        <x:v>Offen</x:v>
      </x:c>
      <x:c r="O179" s="3" t="str">
        <x:v>R-01 erst mit eindeutiger Gesamtplanversion, Gültigkeitszeitraum, verantwortlicher Veröffentlichung, Empfangsbestätigung der Pflegekraft und vollständig gebundener Original-/Änderungshistorie weiter abnehmen. Status geplant oder bestätigt nicht als Empfang, tatsächlichen Dienst oder geleistete Arbeit verwenden. Serverprüfungen in echter Datenbank und Browser nachweisen. Als nächsten unabhängigen Punkt R-02 Arbeitszeitregeln samt versionierter Rechts-/Vertragsgrundlage, Pause, Ruhezeit und Ausnahmen prüfen.</x:v>
      </x:c>
    </x:row>
    <x:row r="180" ht="44" customHeight="1">
      <x:c r="A180" s="3" t="str">
        <x:v>R-02</x:v>
      </x:c>
      <x:c r="B180" s="3" t="str">
        <x:v>R Dienst und Tourenplanung</x:v>
      </x:c>
      <x:c r="C180" s="3" t="str">
        <x:v>Arbeitszeitregeln</x:v>
      </x:c>
      <x:c r="D180" s="3" t="str">
        <x:v>Geltende Grundlage, Arbeitszeit, Pause, Ruhezeit, Ausnahme</x:v>
      </x:c>
      <x:c r="E180" s="3" t="str">
        <x:v>Regeln werden mit aktueller Rechts- und Vertragsgrundlage versioniert geprüft.</x:v>
      </x:c>
      <x:c r="F180" s="3" t="str">
        <x:v>R-P01</x:v>
      </x:c>
      <x:c r="G180" s="3" t="str">
        <x:v>B-07, Q-02</x:v>
      </x:c>
      <x:c r="H180" s="5" t="str">
        <x:v>Teilweise umgesetzt</x:v>
      </x:c>
      <x:c r="I180" s="5" t="str">
        <x:v>Teilprüfung</x:v>
      </x:c>
      <x:c r="J180" s="5" t="str">
        <x:v>Offen</x:v>
      </x:c>
      <x:c r="K180" s="5" t="str">
        <x:v>Offen</x:v>
      </x:c>
      <x:c r="L180" s="5" t="str">
        <x:v>Offen</x:v>
      </x:c>
      <x:c r="M180" s="5" t="str">
        <x:v>Checkpoint 202: Sichtbare unveränderliche Web/Desktop-Nachweisgrenze trennt technische Standardwerte von einer geltenden Rechts-/Tarifgrundlage. Pflege-Schichtvalidierung, kontrolliertes SQL und WFM-Warnung prüfen 600 Minuten Nettoarbeit, 30/45 Minuten Pause, höchstens sechs Stunden ohne Pause und 660 Minuten Standardruhezeit. Die amtlichen §§ 3, 4, 5 und 7 ArbZG wurden am 12.10.2026 als Fundstellen geprüft; das ist ausdrücklich keine Rechtsfreigabe. Schichten und Regelverstöße speichern weder eine für Betrieb/Beschäftigte geltende Regelversion und Gültigkeit noch Ausgleich/Durchschnitt, konkrete autorisierte Ausnahme oder unveränderliche Regelhistorie. Bestätigen einer Warnung genehmigt keine Ausnahme. 8 neue Vertrags-/Negativfälle, 8726/8726 Gesamtlauf bestanden. Browser/deployed SQL/RLS/Feldrechte sowie Pflege/Design/Recht offen.</x:v>
      </x:c>
      <x:c r="N180" s="3" t="str">
        <x:f>IF(AND(H180="Umgesetzt",I180="Bestanden",OR(J180="Bestanden",J180="Entfällt geprüft"),OR(K180="Bestanden",K180="Entfällt geprüft"),OR(L180="Bestanden",L180="Entfällt geprüft"),M180&lt;&gt;""),"Abgenommen","Offen")</x:f>
        <x:v>Offen</x:v>
      </x:c>
      <x:c r="O180" s="3" t="str">
        <x:v>R-02 erst mit versionierter für Betrieb und Beschäftigte geltender Rechts-/Tarifgrundlage, Gültigkeitszeitraum, Ausgleichs-/Durchschnittsprüfung, konkret autorisierten befristeten Ausnahmen und gebundener unveränderlicher Regelhistorie weiter abnehmen. Technische Standardwerte oder bestätigte Warnungen nicht als rechtliche Freigabe verwenden. Als nächsten unabhängigen Punkt R-03 Klientenbesuche planen und Unterbrechungen der Versorgung prüfen.</x:v>
      </x:c>
    </x:row>
    <x:row r="181" ht="44" customHeight="1">
      <x:c r="A181" s="3" t="str">
        <x:v>R-03</x:v>
      </x:c>
      <x:c r="B181" s="3" t="str">
        <x:v>R Dienst und Tourenplanung</x:v>
      </x:c>
      <x:c r="C181" s="3" t="str">
        <x:v>Klientenbesuche planen</x:v>
      </x:c>
      <x:c r="D181" s="3" t="str">
        <x:v>Bedarf, Frequenz, Zeitfenster, Dauer, Leistungsarten</x:v>
      </x:c>
      <x:c r="E181" s="3" t="str">
        <x:v>Unterbrochene Versorgung erzeugt keine regulären neuen Termine.</x:v>
      </x:c>
      <x:c r="F181" s="3" t="str">
        <x:v>R-P01</x:v>
      </x:c>
      <x:c r="G181" s="3" t="str">
        <x:v>B-07, Q-02</x:v>
      </x:c>
      <x:c r="H181" s="5" t="str">
        <x:v>Teilweise umgesetzt</x:v>
      </x:c>
      <x:c r="I181" s="5" t="str">
        <x:v>Teilprüfung</x:v>
      </x:c>
      <x:c r="J181" s="5" t="str">
        <x:v>Offen</x:v>
      </x:c>
      <x:c r="K181" s="5" t="str">
        <x:v>Offen</x:v>
      </x:c>
      <x:c r="L181" s="5" t="str">
        <x:v>Offen</x:v>
      </x:c>
      <x:c r="M181" s="5" t="str">
        <x:v>CP203: Web-/Desktop-Grenze trennt Entwurf, Freigabe und Ist-Versorgung. Vorbereitete SQL-Guards verlangen für Freigabe und Versorgungsstart eine datiert aktive Aufnahme; Ressourcenliste und Entwurf nutzen nur den Modul-Aktivstatus. Bedarf, Frequenz, strukturierte Leistungsart und Planversion bleiben ungebunden. 8 neue Vertrags-/Negativfälle, 8734/8734 Gesamtlauf; Browser/deployed SQL/RLS und Fachabnahmen offen.</x:v>
      </x:c>
      <x:c r="N181" s="3" t="str">
        <x:f>IF(AND(H181="Umgesetzt",I181="Bestanden",OR(J181="Bestanden",J181="Entfällt geprüft"),OR(K181="Bestanden",K181="Entfällt geprüft"),OR(L181="Bestanden",L181="Entfällt geprüft"),M181&lt;&gt;""),"Abgenommen","Offen")</x:f>
        <x:v>Offen</x:v>
      </x:c>
      <x:c r="O181" s="3" t="str">
        <x:v>Ressourcenliste und Entwurf datumsspezifisch an aktive Aufnahme, versionierten Bedarf/Frequenz, strukturierte Leistungsarten und Pflegeplan-/Vereinbarungsversion binden; deployed SQL/RLS, Browser/Layout sowie Pflege-, Design- und Rechtsabnahme prüfen. Entwurf oder Tourstatus nie als regulären Termin oder Ist-Versorgung werten.</x:v>
      </x:c>
    </x:row>
    <x:row r="182" ht="44" customHeight="1">
      <x:c r="A182" s="3" t="str">
        <x:v>R-04</x:v>
      </x:c>
      <x:c r="B182" s="3" t="str">
        <x:v>R Dienst und Tourenplanung</x:v>
      </x:c>
      <x:c r="C182" s="3" t="str">
        <x:v>Tour zuordnen</x:v>
      </x:c>
      <x:c r="D182" s="3" t="str">
        <x:v>Mitarbeiter, Besuche, Fahrtzeit, Kapazität, Zugang</x:v>
      </x:c>
      <x:c r="E182" s="3" t="str">
        <x:v>Qualifikation und Doppelbesetzung werden nicht zugunsten kurzer Strecke ignoriert.</x:v>
      </x:c>
      <x:c r="F182" s="3" t="str">
        <x:v>R-P02</x:v>
      </x:c>
      <x:c r="G182" s="3" t="str">
        <x:v>B-07, Q-02</x:v>
      </x:c>
      <x:c r="H182" s="5" t="str">
        <x:v>Teilweise umgesetzt</x:v>
      </x:c>
      <x:c r="I182" s="5" t="str">
        <x:v>Teilprüfung</x:v>
      </x:c>
      <x:c r="J182" s="5" t="str">
        <x:v>Offen</x:v>
      </x:c>
      <x:c r="K182" s="5" t="str">
        <x:v>Offen</x:v>
      </x:c>
      <x:c r="L182" s="5" t="str">
        <x:v>Offen</x:v>
      </x:c>
      <x:c r="M182" s="5" t="str">
        <x:v>CP204: Sichtbare Web-/Desktop-Grenze: Pflege-Tour führt genau eine Pflegekraft; vorbereitete SQL-Pfade prüfen aktives Pflegemodul, Schicht und Überlappung. Angezeigte Qualifikation bleibt ungebundenes Stammlabel. Tätigkeitsqualifikation, Doppelbesetzungsanlass und atomare Paarreservierung, Fahrtzeit, Kapazität, Zugang sowie versionierte Entscheidung fehlen. Der Pflegepfad optimiert keine Distanz und wertet kurze Strecke nicht als Eignung. 8 neue Vertrags-/Negativfälle, 8742/8742 Gesamtlauf; Browser/deployed SQL/RLS und Fachabnahmen offen.</x:v>
      </x:c>
      <x:c r="N182" s="3" t="str">
        <x:f>IF(AND(H182="Umgesetzt",I182="Bestanden",OR(J182="Bestanden",J182="Entfällt geprüft"),OR(K182="Bestanden",K182="Entfällt geprüft"),OR(L182="Bestanden",L182="Entfällt geprüft"),M182&lt;&gt;""),"Abgenommen","Offen")</x:f>
        <x:v>Offen</x:v>
      </x:c>
      <x:c r="O182" s="3" t="str">
        <x:v>Besuch mit zeitpunkt- und tätigkeitsbezogener Qualifikationsanforderung, Zugang und Kapazität verbinden; Doppelbesetzung mit Anlass, zwei verschiedenen nativen Personen, getrennter Eignungsprüfung und atomarer Intervallreservierung ergänzen. Fahrtzeit erst danach als nachrangiges Kriterium nutzen. Parallelität/Rücklesung, Browser/Layout, deployed SQL/RLS sowie Pflege-, Design- und Rechtsabnahme prüfen.</x:v>
      </x:c>
    </x:row>
    <x:row r="183" ht="44" customHeight="1">
      <x:c r="A183" s="3" t="str">
        <x:v>R-05</x:v>
      </x:c>
      <x:c r="B183" s="3" t="str">
        <x:v>R Dienst und Tourenplanung</x:v>
      </x:c>
      <x:c r="C183" s="3" t="str">
        <x:v>Wunschzeiten und Bezugspflege</x:v>
      </x:c>
      <x:c r="D183" s="3" t="str">
        <x:v>Präferenz, vereinbarte Grenzen, Stammteam, Priorität</x:v>
      </x:c>
      <x:c r="E183" s="3" t="str">
        <x:v>Planabweichung ist begründet und vor Übernahme sichtbar.</x:v>
      </x:c>
      <x:c r="F183" s="3" t="str">
        <x:v>R-P02</x:v>
      </x:c>
      <x:c r="G183" s="3" t="str">
        <x:v>B-07, Q-02</x:v>
      </x:c>
      <x:c r="H183" s="5" t="str">
        <x:v>Teilweise umgesetzt</x:v>
      </x:c>
      <x:c r="I183" s="5" t="str">
        <x:v>Teilprüfung</x:v>
      </x:c>
      <x:c r="J183" s="5" t="str">
        <x:v>Offen</x:v>
      </x:c>
      <x:c r="K183" s="5" t="str">
        <x:v>Offen</x:v>
      </x:c>
      <x:c r="L183" s="5" t="str">
        <x:v>Offen</x:v>
      </x:c>
      <x:c r="M183" s="5" t="str">
        <x:v>CP205: Sichtbare Web-/Desktop-Grenze trennt gespeicherte Planungswünsche von Terminvereinbarung und Bezugspflege. Wunschtage/-zeiten, Personalgeschlecht und Häufigkeit besitzen keine Quelle, Gültigkeit, Vereinbarungsfassung oder Priorität; die aktuelle Upsert-Zeile ist keine append-only Historie. Bevorzugte Personal-IDs bilden kein vereinbartes Stammteam. Der Tourstopp bindet weder Präferenz noch Vereinbarung oder vor Übernahme sichtbaren Abweichungsgrund. 8 neue Vertrags-/Negativfälle, 8750/8750 Gesamtlauf; Browser/deployed SQL/RLS und Fachabnahmen offen.</x:v>
      </x:c>
      <x:c r="N183" s="3" t="str">
        <x:f>IF(AND(H183="Umgesetzt",I183="Bestanden",OR(J183="Bestanden",J183="Entfällt geprüft"),OR(K183="Bestanden",K183="Entfällt geprüft"),OR(L183="Bestanden",L183="Entfällt geprüft"),M183&lt;&gt;""),"Abgenommen","Offen")</x:f>
        <x:v>Offen</x:v>
      </x:c>
      <x:c r="O183" s="3" t="str">
        <x:v>Nativen versionierten Präferenz- und Vereinbarungsvertrag mit Quelle, Gültigkeit, Priorität und Originalhistorie ergänzen; Bezugsteam, Vertretungsregel und konkrete Tourstoppbindung getrennt führen. Abweichung vor Planübernahme sichtbar begründen und gegen die damals geltende Vereinbarung prüfen. Parallelität/Rücklesung, Browser/Layout, deployed SQL/RLS sowie Pflege-, Design- und Rechtsabnahme nachweisen.</x:v>
      </x:c>
    </x:row>
    <x:row r="184" ht="44" customHeight="1">
      <x:c r="A184" s="3" t="str">
        <x:v>R-06</x:v>
      </x:c>
      <x:c r="B184" s="3" t="str">
        <x:v>R Dienst und Tourenplanung</x:v>
      </x:c>
      <x:c r="C184" s="3" t="str">
        <x:v>Kurzfristige Umplanung</x:v>
      </x:c>
      <x:c r="D184" s="3" t="str">
        <x:v>Ausfall, Vertretung, Konflikt, Benachrichtigung, Version</x:v>
      </x:c>
      <x:c r="E184" s="3" t="str">
        <x:v>Bereits begonnene Besuche werden nicht stillschweigend überschrieben.</x:v>
      </x:c>
      <x:c r="F184" s="3" t="str">
        <x:v>R-P02</x:v>
      </x:c>
      <x:c r="G184" s="3" t="str">
        <x:v>B-07, Q-02</x:v>
      </x:c>
      <x:c r="H184" s="5" t="str">
        <x:v>Teilweise umgesetzt</x:v>
      </x:c>
      <x:c r="I184" s="5" t="str">
        <x:v>Teilprüfung</x:v>
      </x:c>
      <x:c r="J184" s="5" t="str">
        <x:v>Offen</x:v>
      </x:c>
      <x:c r="K184" s="5" t="str">
        <x:v>Offen</x:v>
      </x:c>
      <x:c r="L184" s="5" t="str">
        <x:v>Offen</x:v>
      </x:c>
      <x:c r="M184" s="5" t="str">
        <x:v>CP206: Sichtbare Web-/Desktop-Grenze trennt Statuswechsel und begründete Absage von atomarer kurzfristiger Umplanung. Erwarteter Status und Zeilensperre verhindern einzelne veraltete Übergänge; Tourabsage ist nur vor Beginn und mit Grund möglich. Stoppstart/-ende bleiben tatsächliche Zeiten, ein begonnener Stopp kann nur begründet abgeschlossen oder abgesagt werden. Es fehlen Umplanungs-RPC, alte/neue Fassung, Ersatzrelation, Planversion sowie adressierter Zustellnachweis. 8 neue Vertrags-/Negativfälle, 8758/8758 Gesamtlauf; Browser/deployed SQL/RLS und Fachabnahmen offen.</x:v>
      </x:c>
      <x:c r="N184" s="3" t="str">
        <x:f>IF(AND(H184="Umgesetzt",I184="Bestanden",OR(J184="Bestanden",J184="Entfällt geprüft"),OR(K184="Bestanden",K184="Entfällt geprüft"),OR(L184="Bestanden",L184="Entfällt geprüft"),M184&lt;&gt;""),"Abgenommen","Offen")</x:f>
        <x:v>Offen</x:v>
      </x:c>
      <x:c r="O184" s="3" t="str">
        <x:v>Atomaren Umplanungsvertrag mit Ausfall, alter und neuer Tour-/Stoppfassung, Planversion, geprüfter Ersatzperson, Konfliktprüfung und vollständiger Originalhistorie ergänzen. Begonnene Besuche unveränderlich erhalten; betroffene Personen adressiert benachrichtigen und Zustellung/Fehler nachweisen. Parallelität/Rücklesung, Browser/Layout, deployed SQL/RLS sowie Pflege-, Design- und Rechtsabnahme prüfen.</x:v>
      </x:c>
    </x:row>
    <x:row r="185" ht="44" customHeight="1">
      <x:c r="A185" s="3" t="str">
        <x:v>R-07</x:v>
      </x:c>
      <x:c r="B185" s="3" t="str">
        <x:v>R Dienst und Tourenplanung</x:v>
      </x:c>
      <x:c r="C185" s="3" t="str">
        <x:v>Serien und Feiertage</x:v>
      </x:c>
      <x:c r="D185" s="3" t="str">
        <x:v>Wiederholung, Ausnahme, Feiertagskalender, Enddatum</x:v>
      </x:c>
      <x:c r="E185" s="3" t="str">
        <x:v>Einzeländerung zerstört keine übrigen bestätigten Termine.</x:v>
      </x:c>
      <x:c r="F185" s="3" t="str">
        <x:v>R-P03</x:v>
      </x:c>
      <x:c r="G185" s="3" t="str">
        <x:v>B-07, Q-02</x:v>
      </x:c>
      <x:c r="H185" s="5" t="str">
        <x:v>Teilweise umgesetzt</x:v>
      </x:c>
      <x:c r="I185" s="5" t="str">
        <x:v>Teilprüfung</x:v>
      </x:c>
      <x:c r="J185" s="5" t="str">
        <x:v>Offen</x:v>
      </x:c>
      <x:c r="K185" s="5" t="str">
        <x:v>Offen</x:v>
      </x:c>
      <x:c r="L185" s="5" t="str">
        <x:v>Offen</x:v>
      </x:c>
      <x:c r="M185" s="5" t="str">
        <x:v>CP207: Sichtbare Web-/Desktop-Grenze trennt einzelne Pflege-Touren von Serien. Pflege-Touren führen genau ein DATE und Stopps lokale TIME-Werte; Serienregel, Zeitzonen-/DST-Fassung, Feiertagsentscheidung, Vorkommens-ID und Ausnahmehistorie fehlen. Assistenz-Wiederholungen und NW-Kalenderhinweise sind getrennte Modulpfade und kein Pflege-Tournachweis. 8 neue Vertrags-/Negativfälle, 8766/8766 Gesamtlauf; Browser/deployed SQL/RLS und Fachabnahmen offen.</x:v>
      </x:c>
      <x:c r="N185" s="3" t="str">
        <x:f>IF(AND(H185="Umgesetzt",I185="Bestanden",OR(J185="Bestanden",J185="Entfällt geprüft"),OR(K185="Bestanden",K185="Entfällt geprüft"),OR(L185="Bestanden",L185="Entfällt geprüft"),M185&lt;&gt;""),"Abgenommen","Offen")</x:f>
        <x:v>Offen</x:v>
      </x:c>
      <x:c r="O185" s="3" t="str">
        <x:v>Nativen versionierten Pflege-Serienvertrag mit Zeitzone/DST-Regel, Beginn, Endbedingung und unveränderlichen erzeugten Vorkommen ergänzen. Feiertagsentscheidung mandantenbezogen speichern; Einzel-Ausnahme atomar an genau ein Vorkommen binden, ohne übrige oder vergangene Termine umzuschreiben. Parallelität/Rücklesung, Browser/Layout, deployed SQL/RLS sowie Pflege-, Design- und Rechtsabnahme prüfen.</x:v>
      </x:c>
    </x:row>
    <x:row r="186" ht="44" customHeight="1">
      <x:c r="A186" s="3" t="str">
        <x:v>R-08</x:v>
      </x:c>
      <x:c r="B186" s="3" t="str">
        <x:v>R Dienst und Tourenplanung</x:v>
      </x:c>
      <x:c r="C186" s="3" t="str">
        <x:v>Plan veröffentlichen</x:v>
      </x:c>
      <x:c r="D186" s="3" t="str">
        <x:v>Version, Freigabe, Empfänger, Empfang, Änderungshistorie</x:v>
      </x:c>
      <x:c r="E186" s="3" t="str">
        <x:v>Personal erkennt den aktuellen Plan und jede relevante Änderung.</x:v>
      </x:c>
      <x:c r="F186" s="3" t="str">
        <x:v>R-P03</x:v>
      </x:c>
      <x:c r="G186" s="3" t="str">
        <x:v>B-07, Q-02</x:v>
      </x:c>
      <x:c r="H186" s="5" t="str">
        <x:v>Teilweise umgesetzt</x:v>
      </x:c>
      <x:c r="I186" s="5" t="str">
        <x:v>Teilprüfung</x:v>
      </x:c>
      <x:c r="J186" s="5" t="str">
        <x:v>Offen</x:v>
      </x:c>
      <x:c r="K186" s="5" t="str">
        <x:v>Offen</x:v>
      </x:c>
      <x:c r="L186" s="5" t="str">
        <x:v>Offen</x:v>
      </x:c>
      <x:c r="M186" s="5" t="str">
        <x:v>CP208: Sichtbare Web-/Desktop-Grenze trennt den Status veröffentlicht von persönlicher Zustellung und Kenntnisnahme. Der Statuswechsel ist mit erwartetem Ausgangsstatus und Ereigniszeit vorhanden; unveränderliche Planversion/-momentaufnahme, adressierte Empfänger, Zustellversuch/-ergebnis, persönliche Quittierung und Änderungsmitteilung fehlen. Portalsichtbarkeit oder aggregierte Bestätigung werden nicht als Empfang umgedeutet. 8 neue Vertrags-/Negativfälle, 8774/8774 Gesamtlauf; Browser/deployed SQL/RLS und Fachabnahmen offen.</x:v>
      </x:c>
      <x:c r="N186" s="3" t="str">
        <x:f>IF(AND(H186="Umgesetzt",I186="Bestanden",OR(J186="Bestanden",J186="Entfällt geprüft"),OR(K186="Bestanden",K186="Entfällt geprüft"),OR(L186="Bestanden",L186="Entfällt geprüft"),M186&lt;&gt;""),"Abgenommen","Offen")</x:f>
        <x:v>Offen</x:v>
      </x:c>
      <x:c r="O186" s="3" t="str">
        <x:v>Unveränderliche veröffentlichte Planfassung mit Versionskennung und Freigabeentscheidung ergänzen. Empfänger nativ adressieren, Zustellkanal, Versuch, Ergebnis und Zeitpunkt protokollieren; persönliche Kenntnisnahme an exakt diese Fassung binden. Relevante Änderung als alte/neue Fassung zustellen. Parallelität/Rücklesung, Browser/Layout, deployed SQL/RLS sowie Pflege-, Design- und Rechtsabnahme prüfen.</x:v>
      </x:c>
    </x:row>
    <x:row r="187" ht="44" customHeight="1">
      <x:c r="A187" s="3" t="str">
        <x:v>R-09</x:v>
      </x:c>
      <x:c r="B187" s="3" t="str">
        <x:v>R Dienst und Tourenplanung</x:v>
      </x:c>
      <x:c r="C187" s="3" t="str">
        <x:v>Fahrzeuge und Fahrtenbuch</x:v>
      </x:c>
      <x:c r="D187" s="3" t="str">
        <x:v>Fahrzeug, Fahrer, Kilometer, Fahrtzweck, Zuordnung</x:v>
      </x:c>
      <x:c r="E187" s="3" t="str">
        <x:v>Doppelte oder widersprüchliche Kilometer werden vor Abschluss erkannt.</x:v>
      </x:c>
      <x:c r="F187" s="3" t="str">
        <x:v>R-P03</x:v>
      </x:c>
      <x:c r="G187" s="3" t="str">
        <x:v>B-07, Q-02</x:v>
      </x:c>
      <x:c r="H187" s="5" t="str">
        <x:v>Teilweise umgesetzt</x:v>
      </x:c>
      <x:c r="I187" s="5" t="str">
        <x:v>Teilprüfung</x:v>
      </x:c>
      <x:c r="J187" s="5" t="str">
        <x:v>Offen</x:v>
      </x:c>
      <x:c r="K187" s="5" t="str">
        <x:v>Offen</x:v>
      </x:c>
      <x:c r="L187" s="5" t="str">
        <x:v>Offen</x:v>
      </x:c>
      <x:c r="M187" s="5" t="str">
        <x:v>CP209/210: Sichtbare Web-/Desktop-Grenze trennt das freie Fahrzeug-/Kennzeichenlabel und die zugeordnete Pflegekraft von gebundener Fahrzeugidentität, Fahrerberechtigung und tatsächlicher Fahrt. Das Schema besitzt optional vehicle_inventory_item_id, doch Erzeugung, Dienst und UI befüllen oder lesen diese Referenz nicht. Eignung/Verfügbarkeit, Kilometerbeginn/-ende, Fahrtzweck, Übergabe/Rückgabe und unveränderliche Fahrthistorie fehlen. Das Planlabel wird nicht als abgeschlossene Fahrt umgedeutet. CP210 korrigiert den CP209-Nachweis ausdrücklich um die vorhandene, aber ungebundene Spalte; 16 betroffene Vertrags-/Negativfälle bestanden, 8790/8790 Gesamtlauf. Browser/deployed SQL/RLS und Fachabnahmen offen.</x:v>
      </x:c>
      <x:c r="N187" s="3" t="str">
        <x:f>IF(AND(H187="Umgesetzt",I187="Bestanden",OR(J187="Bestanden",J187="Entfällt geprüft"),OR(K187="Bestanden",K187="Entfällt geprüft"),OR(L187="Bestanden",L187="Entfällt geprüft"),M187&lt;&gt;""),"Abgenommen","Offen")</x:f>
        <x:v>Offen</x:v>
      </x:c>
      <x:c r="O187" s="3" t="str">
        <x:v>Die vorhandene optionale Fahrzeugreferenz in Erzeugung, Dienst und UI nativ und mandantengebunden verwenden; berechtigte Fahreridentität getrennt anbinden und Eignung, Verfügbarkeit sowie Zuordnung atomar prüfen. Kilometerbeginn/-ende, Fahrtzweck, Übergabe und Rückgabe mit unveränderlicher Ereignishistorie speichern; doppelte oder widersprüchliche Kilometer vor Abschluss sperren. Parallelität/Rücklesung, Browser/Layout, deployed SQL/RLS sowie Pflege-, Design- und Rechtsabnahme prüfen.</x:v>
      </x:c>
    </x:row>
    <x:row r="188" ht="44" customHeight="1">
      <x:c r="A188" s="3" t="str">
        <x:v>R-10</x:v>
      </x:c>
      <x:c r="B188" s="3" t="str">
        <x:v>R Dienst und Tourenplanung</x:v>
      </x:c>
      <x:c r="C188" s="3" t="str">
        <x:v>Fuhrparkwartung</x:v>
      </x:c>
      <x:c r="D188" s="3" t="str">
        <x:v>Fahrzeug, Frist, Prüfung, Verfügbarkeit, Ersatz</x:v>
      </x:c>
      <x:c r="E188" s="3" t="str">
        <x:v>Nicht verfügbares Fahrzeug wird vor Tourenfreigabe berücksichtigt.</x:v>
      </x:c>
      <x:c r="F188" s="3" t="str">
        <x:v>R-P04</x:v>
      </x:c>
      <x:c r="G188" s="3" t="str">
        <x:v>B-07, Q-02</x:v>
      </x:c>
      <x:c r="H188" s="5" t="str">
        <x:v>Teilweise umgesetzt</x:v>
      </x:c>
      <x:c r="I188" s="5" t="str">
        <x:v>Teilprüfung</x:v>
      </x:c>
      <x:c r="J188" s="5" t="str">
        <x:v>Offen</x:v>
      </x:c>
      <x:c r="K188" s="5" t="str">
        <x:v>Offen</x:v>
      </x:c>
      <x:c r="L188" s="5" t="str">
        <x:v>Offen</x:v>
      </x:c>
      <x:c r="M188" s="5" t="str">
        <x:v>CP210: Sichtbare Web-/Desktop-Grenze trennt Inventar-Fahrzeugkategorie und aktuellen Zustand von Wartungshistorie und Tourfreigabe. Inventar kennt Zustände einschließlich maintenance, damaged und decommissioned; der Tourworkflow befüllt seine optionale Fahrzeugreferenz nicht und prüft den Zustand vor Veröffentlichung nicht. Wartungsfrist, Prüfergebnis, Außerbetriebnahme, Ersatzrelation und atomare Verfügbarkeitssperre fehlen. 8 neue Vertrags-/Negativfälle; mit korrigierten R09-Fällen 16/16 betroffen und 8790/8790 gesamt. Browser/deployed SQL/RLS und Fachabnahmen offen.</x:v>
      </x:c>
      <x:c r="N188" s="3" t="str">
        <x:f>IF(AND(H188="Umgesetzt",I188="Bestanden",OR(J188="Bestanden",J188="Entfällt geprüft"),OR(K188="Bestanden",K188="Entfällt geprüft"),OR(L188="Bestanden",L188="Entfällt geprüft"),M188&lt;&gt;""),"Abgenommen","Offen")</x:f>
        <x:v>Offen</x:v>
      </x:c>
      <x:c r="O188" s="3" t="str">
        <x:v>Native Fahrzeugreferenz im Tourworkflow verwenden. Versionierte Wartungs-/Prüfhistorie, Frist, Ergebnis, Außerbetriebnahme und Ersatzfahrzeugrelation ergänzen; maintenance, damaged, decommissioned und überfällige Prüfung vor Tourfreigabe atomar sperren. Parallelität/Rücklesung, Browser/Layout, deployed SQL/RLS sowie Pflege-, Design- und Rechtsabnahme prüfen.</x:v>
      </x:c>
    </x:row>
    <x:row r="189" ht="44" customHeight="1">
      <x:c r="A189" s="3" t="str">
        <x:v>R-11</x:v>
      </x:c>
      <x:c r="B189" s="3" t="str">
        <x:v>R Dienst und Tourenplanung</x:v>
      </x:c>
      <x:c r="C189" s="3" t="str">
        <x:v>Hausnotruf und Zusatzleistungen</x:v>
      </x:c>
      <x:c r="D189" s="3" t="str">
        <x:v>Vertrag, Gerät, Kontaktkette, Alarm, Rückmeldung</x:v>
      </x:c>
      <x:c r="E189" s="3" t="str">
        <x:v>Zusatzleistung besitzt vollständigen eigenen Auftrag und Verlauf.</x:v>
      </x:c>
      <x:c r="F189" s="3" t="str">
        <x:v>R-P04</x:v>
      </x:c>
      <x:c r="G189" s="3" t="str">
        <x:v>B-07, Q-02</x:v>
      </x:c>
      <x:c r="H189" s="5" t="str">
        <x:v>Teilweise umgesetzt</x:v>
      </x:c>
      <x:c r="I189" s="5" t="str">
        <x:v>Teilprüfung</x:v>
      </x:c>
      <x:c r="J189" s="5" t="str">
        <x:v>Offen</x:v>
      </x:c>
      <x:c r="K189" s="5" t="str">
        <x:v>Offen</x:v>
      </x:c>
      <x:c r="L189" s="5" t="str">
        <x:v>Offen</x:v>
      </x:c>
      <x:c r="M189" s="5" t="str">
        <x:v>CP211: Sichtbare Web-/Desktop-Grenze trennt die vorhandene Marktplatzkategorie Hausnotruf und den Demo-Anfrage-/Einwilligungsablauf von einem aktiven Zusatzleistungsauftrag. Der Dienst hält Anfragen nur im Demo-Speicher, bindet keine native Klientenidentität und erklärt die Übertragung selbst als nicht echt. Eigener versionierter Vertrag/Auftrag, Gerätezuordnung und Funktionsprüfung, Kontakt-/Eskalationskette sowie unveränderlicher Alarmverlauf mit Annahme und Rückmeldung fehlen. 8 neue Vertrags-/Negativfälle; 8798/8798 Gesamtlauf. Browser/deployed SQL/RLS und Fachabnahmen offen.</x:v>
      </x:c>
      <x:c r="N189" s="3" t="str">
        <x:f>IF(AND(H189="Umgesetzt",I189="Bestanden",OR(J189="Bestanden",J189="Entfällt geprüft"),OR(K189="Bestanden",K189="Entfällt geprüft"),OR(L189="Bestanden",L189="Entfällt geprüft"),M189&lt;&gt;""),"Abgenommen","Offen")</x:f>
        <x:v>Offen</x:v>
      </x:c>
      <x:c r="O189" s="3" t="str">
        <x:v>Eigenen mandanten- und pflegefallgebundenen Zusatzleistungsauftrag mit Version, Gültigkeit und Einwilligungsbezug schaffen. Native Geräteidentität, Installation, Funktionsprüfung und Rückgabe sowie versionierte Kontakt-/Eskalationskette anbinden. Alarm, Annahme, Eskalation, Rückmeldung und Abschluss append-only mit Mikrosekundenzeit und Akteur führen; Demo-Referral nicht als Vertrag oder Alarmnachweis verwenden. Parallelität/Rücklesung, Browser/Layout, deployed SQL/RLS sowie Pflege-, Design- und Rechtsabnahme prüfen.</x:v>
      </x:c>
    </x:row>
    <x:row r="190" ht="44" customHeight="1">
      <x:c r="A190" s="3" t="str">
        <x:v>R-12</x:v>
      </x:c>
      <x:c r="B190" s="3" t="str">
        <x:v>R Dienst und Tourenplanung</x:v>
      </x:c>
      <x:c r="C190" s="3" t="str">
        <x:v>Essen auf Rädern</x:v>
      </x:c>
      <x:c r="D190" s="3" t="str">
        <x:v>Auftrag, Kostform, Liefertermin, Auslieferung, Ausfall</x:v>
      </x:c>
      <x:c r="E190" s="3" t="str">
        <x:v>Geplante Lieferung zählt nicht automatisch als tatsächlich erbracht.</x:v>
      </x:c>
      <x:c r="F190" s="3" t="str">
        <x:v>R-P04</x:v>
      </x:c>
      <x:c r="G190" s="3" t="str">
        <x:v>B-07, Q-02</x:v>
      </x:c>
      <x:c r="H190" s="5" t="str">
        <x:v>Teilweise umgesetzt</x:v>
      </x:c>
      <x:c r="I190" s="5" t="str">
        <x:v>Teilprüfung</x:v>
      </x:c>
      <x:c r="J190" s="5" t="str">
        <x:v>Offen</x:v>
      </x:c>
      <x:c r="K190" s="5" t="str">
        <x:v>Offen</x:v>
      </x:c>
      <x:c r="L190" s="5" t="str">
        <x:v>Offen</x:v>
      </x:c>
      <x:c r="M190" s="5" t="str">
        <x:v>CP212: Sichtbare Web-/Desktop-Grenze trennt die Marktplatzkategorie Essensdienst und den Demo-Referral von einem eigenen Mahlzeitenauftrag und einer tatsächlichen Auslieferung. Referral und generische Partnerleistung führen weder native Klientenbindung noch Kostform, Liefertermin, Empfänger/Übergabe, tatsächliche Auslieferung oder Ausfall. Das vorhandene Mahlzeitenprotokoll dokumentiert Aufnahme, nicht Lieferleistung; stationäre Demo-Mahlzeitenplanung ist ein getrennter Pfad. 8 neue Vertrags-/Negativfälle; 8806/8806 Gesamtlauf. Browser/deployed SQL/RLS und Fachabnahmen offen.</x:v>
      </x:c>
      <x:c r="N190" s="3" t="str">
        <x:f>IF(AND(H190="Umgesetzt",I190="Bestanden",OR(J190="Bestanden",J190="Entfällt geprüft"),OR(K190="Bestanden",K190="Entfällt geprüft"),OR(L190="Bestanden",L190="Entfällt geprüft"),M190&lt;&gt;""),"Abgenommen","Offen")</x:f>
        <x:v>Offen</x:v>
      </x:c>
      <x:c r="O190" s="3" t="str">
        <x:v>Eigenen mandanten- und pflegefallgebundenen Mahlzeitenauftrag mit Version, Gültigkeit, Kostform und Änderungsverlauf schaffen. Geplanten Liefertermin vom tatsächlichen Lieferereignis trennen; Empfänger:in/Übergabe, Ausfallgrund, Ersatzhandlung und Rückmeldung append-only mit Mikrosekundenzeit und Akteur führen. Referral, Planung oder Mahlzeitenaufnahme nicht als Auslieferung verwenden. Parallelität/Rücklesung, Browser/Layout, deployed SQL/RLS sowie Pflege-, Design- und Rechtsabnahme prüfen.</x:v>
      </x:c>
    </x:row>
    <x:row r="191" ht="44" customHeight="1">
      <x:c r="A191" s="3" t="str">
        <x:v>S-01</x:v>
      </x:c>
      <x:c r="B191" s="3" t="str">
        <x:v>S Einsatz und Leistungsnachweise</x:v>
      </x:c>
      <x:c r="C191" s="3" t="str">
        <x:v>Einsatz öffnen</x:v>
      </x:c>
      <x:c r="D191" s="3" t="str">
        <x:v>Klient, Identitätsabgleich, Besuch, gültiger Plan, wichtige Hinweise</x:v>
      </x:c>
      <x:c r="E191" s="3" t="str">
        <x:v>Falscher Klientenkontext verhindert das Speichern eines Nachweises.</x:v>
      </x:c>
      <x:c r="F191" s="3" t="str">
        <x:v>S-P01</x:v>
      </x:c>
      <x:c r="G191" s="3" t="str">
        <x:v>R-03, E-01</x:v>
      </x:c>
      <x:c r="H191" s="5" t="str">
        <x:v>Teilweise umgesetzt</x:v>
      </x:c>
      <x:c r="I191" s="5" t="str">
        <x:v>Teilprüfung</x:v>
      </x:c>
      <x:c r="J191" s="5" t="str">
        <x:v>Offen</x:v>
      </x:c>
      <x:c r="K191" s="5" t="str">
        <x:v>Offen</x:v>
      </x:c>
      <x:c r="L191" s="5" t="str">
        <x:v>Offen</x:v>
      </x:c>
      <x:c r="M191" s="5" t="str">
        <x:v>CP213: Web/Desktop und Mitarbeiterportal ersetzen beim Status Angekommen den direkten Start durch eine eigene sichere Einsatzöffnung. Der neue Serververtrag bindet exakten Mandanten, Tourstopp, Pflegefall, genau eine am Tourtag gültige aktive Pflegeplanfassung samt Fassung/Rohzeit und tatsächlich gelieferte Hinweise; Nachname und Geburtsdatum werden serverseitig gegen genau diesen Pflegefall geprüft. Geänderter Stopp, Pflegefall oder Plan sperrt; erst nach Prüfung entstehen append-only Öffnungsbeleg und tatsächliche Startzeit. Der spätere Nachweis übernimmt Klient, Stop, tatsächliche Zeiten und Dokumentation weiterhin aus dem vertrauenswürdigen Stop. 11 neue Vertrags-/Negativfälle; 8817/8817 Gesamtlauf. Native Oberfläche bleibt unverändert. Kein deployed SQL/RLS-, Live-SDK-, Browser-/Layout-, Pflege-, Design- oder Rechtsnachweis.</x:v>
      </x:c>
      <x:c r="N191" s="3" t="str">
        <x:f>IF(AND(H191="Umgesetzt",I191="Bestanden",OR(J191="Bestanden",J191="Entfällt geprüft"),OR(K191="Bestanden",K191="Entfällt geprüft"),OR(L191="Bestanden",L191="Entfällt geprüft"),M191&lt;&gt;""),"Abgenommen","Offen")</x:f>
        <x:v>Offen</x:v>
      </x:c>
      <x:c r="O191" s="3" t="str">
        <x:v>Neue Patchfunktionen in einer isolierten Datenbank einschließlich RLS/Funktionsgrants, Mitarbeiterzuordnung, genau-eine-Plan-Konflikt, Mikrosekunden-Konflikt und Parallelstart prüfen; danach Web/Desktop breit, schmal, Tastatur und Screenreader testen. Bewusst weiter vorhandenen generischen/native Statuswechsel gegen Webumgehung bewerten, ohne Androidschnittstelle still zu ändern. Pflegefachlich festlegen, welche Hinweise vor Ort zwingend und welche Planfassung bei mehreren fachlich gültig ist; Pflege-, Design- und Rechtsabnahmen einholen.</x:v>
      </x:c>
    </x:row>
    <x:row r="192" ht="44" customHeight="1">
      <x:c r="A192" s="3" t="str">
        <x:v>S-02</x:v>
      </x:c>
      <x:c r="B192" s="3" t="str">
        <x:v>S Einsatz und Leistungsnachweise</x:v>
      </x:c>
      <x:c r="C192" s="3" t="str">
        <x:v>Beginn Pause und Ende</x:v>
      </x:c>
      <x:c r="D192" s="3" t="str">
        <x:v>Tatsächliche Zeit, Ereignisart, Standortkontext, Korrekturgrund</x:v>
      </x:c>
      <x:c r="E192" s="3" t="str">
        <x:v>Wiederholte Übermittlung erzeugt kein zweites identisches Zeitereignis.</x:v>
      </x:c>
      <x:c r="F192" s="3" t="str">
        <x:v>S-P01</x:v>
      </x:c>
      <x:c r="G192" s="3" t="str">
        <x:v>R-03, E-01</x:v>
      </x:c>
      <x:c r="H192" s="5" t="str">
        <x:v>Teilweise umgesetzt</x:v>
      </x:c>
      <x:c r="I192" s="5" t="str">
        <x:v>Teilprüfung</x:v>
      </x:c>
      <x:c r="J192" s="5" t="str">
        <x:v>Offen</x:v>
      </x:c>
      <x:c r="K192" s="5" t="str">
        <x:v>Offen</x:v>
      </x:c>
      <x:c r="L192" s="5" t="str">
        <x:v>Offen</x:v>
      </x:c>
      <x:c r="M192" s="5" t="str">
        <x:v>CP214: Web/Desktop und Mitarbeiterportal erhalten einen servergebundenen append-only Zeitverlauf für tatsächlichen Start, Pause, Fortsetzung und Ende. Start und Ende werden auch beim unveränderten nativen Statuspfad aus den erstmals gesetzten Istzeiten erfasst; diese Istzeiten werden danach technisch nicht überschrieben. Pause/Fortsetzung/Ende prüfen den gesperrten Stop, exakten nativen updated_at-Wert und zulässige Übergänge. Eine mandanten-/stopgebundene Request-ID mit Payload-Fingerprint liefert bei identischer Wiederholung dasselbe Ereignis und sperrt geänderte Wiederverwendung. Server-Mikrosekundenzeit, optionaler ausdrücklich nicht als GPS bestätigt bezeichneter Standortkontext und Originalidentitäten bleiben erhalten. Korrekturen werden mit Zielereignis, vorgeschlagener Korrekturzeit und Pflichtgrund nur angehängt; Originale, Planzeiten, Pflegedokumentation und Freigabe bleiben getrennt. 13 neue Vertrags-/Negativfälle; 8830/8830 Gesamtlauf. Native Oberfläche unverändert. Kein deployed SQL/RLS-, Live-SDK-, Browser-/Layout-, Pflege-, Design- oder Rechtsnachweis.</x:v>
      </x:c>
      <x:c r="N192" s="3" t="str">
        <x:f>IF(AND(H192="Umgesetzt",I192="Bestanden",OR(J192="Bestanden",J192="Entfällt geprüft"),OR(K192="Bestanden",K192="Entfällt geprüft"),OR(L192="Bestanden",L192="Entfällt geprüft"),M192&lt;&gt;""),"Abgenommen","Offen")</x:f>
        <x:v>Offen</x:v>
      </x:c>
      <x:c r="O192" s="3" t="str">
        <x:v>Patch in isolierter PostgreSQL-/Supabase-Instanz mit RLS/Funktionsgrants, Triggerreihenfolge, Mikrosekundenwerten, Parallelaufrufen und identischer/geänderter Request-Wiederholung ausführen. Web/Desktop breit, schmal, Tastatur, Screenreader, unterbrochene Verbindung und Doppelklick testen. Fachlich und rechtlich Standortumfang, Pausen-/Endregeln, Korrekturrollen sowie Nutzung korrigierter Zeiten im späteren Nachweis festlegen; Pflege-, Design- und Rechtsabnahmen einholen.</x:v>
      </x:c>
    </x:row>
    <x:row r="193" ht="44" customHeight="1">
      <x:c r="A193" s="3" t="str">
        <x:v>S-03</x:v>
      </x:c>
      <x:c r="B193" s="3" t="str">
        <x:v>S Einsatz und Leistungsnachweise</x:v>
      </x:c>
      <x:c r="C193" s="3" t="str">
        <x:v>Aufgaben vor Ort abarbeiten</x:v>
      </x:c>
      <x:c r="D193" s="3" t="str">
        <x:v>Geplante Aufgabe, Ergebnis, Abweichung, Beobachtung</x:v>
      </x:c>
      <x:c r="E193" s="3" t="str">
        <x:v>Ein Häkchen ersetzt keine erforderliche fachliche Detaildokumentation.</x:v>
      </x:c>
      <x:c r="F193" s="3" t="str">
        <x:v>S-P01</x:v>
      </x:c>
      <x:c r="G193" s="3" t="str">
        <x:v>R-03, E-01</x:v>
      </x:c>
      <x:c r="H193" s="5" t="str">
        <x:v>Teilweise umgesetzt</x:v>
      </x:c>
      <x:c r="I193" s="5" t="str">
        <x:v>Teilprüfung</x:v>
      </x:c>
      <x:c r="J193" s="5" t="str">
        <x:v>Offen</x:v>
      </x:c>
      <x:c r="K193" s="5" t="str">
        <x:v>Offen</x:v>
      </x:c>
      <x:c r="L193" s="5" t="str">
        <x:v>Offen</x:v>
      </x:c>
      <x:c r="M193" s="5" t="str">
        <x:v>CP215: Web/Desktop und Mitarbeiterportal binden die beim bestätigten Versorgungsbeginn eingefrorenen nativen Pflegeplanpositionen einschließlich Plan-, Positions- und Mikrosekundenfassung an den Tourstopp. Die Einzeldokumentation speichert append-only genau ein Original je gebundener Aufgabe mit strukturiertem Ergebnis durchgeführt/nicht durchgeführt/abgelehnt, fachlichem Ergebnistext, Abweichungskennzeichen und Pflichtgrund, optionaler Beobachtung, Person und Serverzeit. Ein Planpunkt, Status oder Häkchen erzeugt weder Durchführung noch Abschluss/Freigabe. Eine mandanten-/stopgebundene Request-ID mit Payload-Fingerprint wiederholt exakt und sperrt geänderte oder fremde Wiederverwendung; die Websteuerung friert unklare Anfragen ein. Direkte Tabellenwrites sind entzogen, Android bleibt unverändert. 13 neue Risiko-/Vertragsfälle; 8843/8843 Gesamtlauf. Kein ausgeführter SQL/RLS-/Parallelitäts-, Live-SDK-, Browser-/Layout-, Pflege-, Design- oder Rechtsnachweis; vorhandener generischer Stopabschluss ist noch nicht durch Vollständigkeit der Einzelaufgaben gesperrt.</x:v>
      </x:c>
      <x:c r="N193" s="3" t="str">
        <x:f>IF(AND(H193="Umgesetzt",I193="Bestanden",OR(J193="Bestanden",J193="Entfällt geprüft"),OR(K193="Bestanden",K193="Entfällt geprüft"),OR(L193="Bestanden",L193="Entfällt geprüft"),M193&lt;&gt;""),"Abgenommen","Offen")</x:f>
        <x:v>Offen</x:v>
      </x:c>
      <x:c r="O193" s="3" t="str">
        <x:v>Patch in isolierter PostgreSQL-/Supabase-Instanz mit RLS/Funktionsgrants, Opening-Snapshot, parallelem Binden, Mikrosekundenwerten, Eindeutigkeit und identischer/geänderter Request-Wiederholung ausführen. Generischen Web-/Native-Abschluss und spätere Leistungsnachweise gegen unvollständige oder widersprüchliche Einzeldokumentation fachlich festlegen, ohne Android-Schnittstellen still zu ändern. Web/Desktop breit, schmal, Tastatur, Screenreader, Offline-/Reload-/Unklar-Zustand prüfen; Korrektur-/Stornoverlauf, Pflege-, Design- und Rechtsabnahmen ergänzen.</x:v>
      </x:c>
    </x:row>
    <x:row r="194" ht="44" customHeight="1">
      <x:c r="A194" s="3" t="str">
        <x:v>S-04</x:v>
      </x:c>
      <x:c r="B194" s="3" t="str">
        <x:v>S Einsatz und Leistungsnachweise</x:v>
      </x:c>
      <x:c r="C194" s="3" t="str">
        <x:v>Klient nicht erreichbar</x:v>
      </x:c>
      <x:c r="D194" s="3" t="str">
        <x:v>Kontaktversuch, Umstände, Risiko, Rückmeldung, Folgeauftrag</x:v>
      </x:c>
      <x:c r="E194" s="3" t="str">
        <x:v>Nichtbesuch wird nicht als positive Leistung bestätigt.</x:v>
      </x:c>
      <x:c r="F194" s="3" t="str">
        <x:v>S-P02</x:v>
      </x:c>
      <x:c r="G194" s="3" t="str">
        <x:v>R-03, E-01</x:v>
      </x:c>
      <x:c r="H194" s="5" t="str">
        <x:v>Teilweise umgesetzt</x:v>
      </x:c>
      <x:c r="I194" s="5" t="str">
        <x:v>Teilprüfung</x:v>
      </x:c>
      <x:c r="J194" s="5" t="str">
        <x:v>Offen</x:v>
      </x:c>
      <x:c r="K194" s="5" t="str">
        <x:v>Offen</x:v>
      </x:c>
      <x:c r="L194" s="5" t="str">
        <x:v>Offen</x:v>
      </x:c>
      <x:c r="M194" s="5" t="str">
        <x:v>CP216: Web/Desktop und Mitarbeiterportal führen vor tatsächlichem Versorgungsbeginn append-only Kontaktversuche mit nativer Mandant-/Tour-/Stop-/Pflegefallbindung, strukturiertem Weg und Ergebnis, tatsächlichem Detail, optional nur bei erreichtem Kontakt zulässiger Rückmeldung, Person und Serverzeit. Der Nichtbesuchsbericht verlangt mindestens einen erfolglosen Versuch, konkrete Umstände, explizite Risiko-/Notfallbewertung, mit erreichten Versuchen konsistente Rückmeldung sowie einen atomar erzeugten offenen Folgeauftrag mit Zuständigkeit, Priorität und Frist. Mikrosekundengenauer Stop-Guard und Request-Fingerprint sperren Paralleländerung sowie geänderte/fremde Wiederholung. Der Stopp wird ausschließlich abgesagt; serviceOutcome bleibt fest not_delivered und der Leistungsnachweispfad akzeptiert nur completed. Direkte Tabellenwrites sind entzogen, Android bleibt unverändert. 12 neue Risiko-/Vertragsfälle, S-01–S-04 49/49 und 8855/8855 Gesamtlauf. Kein ausgeführter SQL/RLS-/Parallelitäts-, Live-SDK-, Browser-/Layout-, Pflege-, Design- oder Rechtsnachweis; der getrennte generische Weg für sonstige Ausfälle kann weiterhin falsch als Nichtbesuch verwendet werden.</x:v>
      </x:c>
      <x:c r="N194" s="3" t="str">
        <x:f>IF(AND(H194="Umgesetzt",I194="Bestanden",OR(J194="Bestanden",J194="Entfällt geprüft"),OR(K194="Bestanden",K194="Entfällt geprüft"),OR(L194="Bestanden",L194="Entfällt geprüft"),M194&lt;&gt;""),"Abgenommen","Offen")</x:f>
        <x:v>Offen</x:v>
      </x:c>
      <x:c r="O194" s="3" t="str">
        <x:v>Patch in isolierter PostgreSQL-/Supabase-Instanz mit RLS/Funktionsgrants, mehreren Kontaktversuchen, Mikrosekunden-/Paralleländerung, identischer/geänderter Request-Wiederholung und atomarem Bericht/Folgeauftrag ausführen. Fachlich Kontaktwege, Risikostufen, Eskalations- und Fristregeln sowie Abgrenzung zum generischen sonstigen Ausfall festlegen. Web/Desktop breit, schmal, Tastatur, Screenreader, Offline-/Reload-/Unklar-Zustand prüfen; Folgeauftragsbearbeitung, Korrektur-/Stornoverlauf, Pflege-, Design- und Rechtsabnahmen ergänzen.</x:v>
      </x:c>
    </x:row>
    <x:row r="195" ht="44" customHeight="1">
      <x:c r="A195" s="3" t="str">
        <x:v>S-05</x:v>
      </x:c>
      <x:c r="B195" s="3" t="str">
        <x:v>S Einsatz und Leistungsnachweise</x:v>
      </x:c>
      <x:c r="C195" s="3" t="str">
        <x:v>Mehrere Leistungen pro Einsatz</x:v>
      </x:c>
      <x:c r="D195" s="3" t="str">
        <x:v>Position, Menge, Einheit, Finanzierung, Verordnung</x:v>
      </x:c>
      <x:c r="E195" s="3" t="str">
        <x:v>Mehrere gültige Positionen bleiben getrennte prüfbare Nachweise.</x:v>
      </x:c>
      <x:c r="F195" s="3" t="str">
        <x:v>S-P02</x:v>
      </x:c>
      <x:c r="G195" s="3" t="str">
        <x:v>R-03, E-01</x:v>
      </x:c>
      <x:c r="H195" s="5" t="str">
        <x:v>Teilweise umgesetzt</x:v>
      </x:c>
      <x:c r="I195" s="5" t="str">
        <x:v>Teilprüfung</x:v>
      </x:c>
      <x:c r="J195" s="5" t="str">
        <x:v>Offen</x:v>
      </x:c>
      <x:c r="K195" s="5" t="str">
        <x:v>Offen</x:v>
      </x:c>
      <x:c r="L195" s="5" t="str">
        <x:v>Offen</x:v>
      </x:c>
      <x:c r="M195" s="5" t="str">
        <x:v>CP217: Web/Desktop erzeugt aus einem vollständig dokumentierten Einsatz atomar zwei bis fünfzig getrennte Leistungsnachweise. Jede Position behält native Tarif-/Aufnahme-/optionale Verordnungsidentität, Menge, ursprüngliche Abrechnungseinheit, Finanzierung, tatsächliches Durchführungsdetail, Abweichung und vollständige Quellsnapshots. Serverseitige Tarifierung, Gültigkeit und SGB-V-Verordnung werden je Position geprüft; Plantext oder Stopstatus erzeugen keine Position. Mikrosekundengenauer Stop-Guard und Request-Fingerprint sichern Parallelität und unveränderte Wiederholung. Direkte Tabellenwrites sind entzogen, Android und seine Einzelnachweis-Schnittstelle bleiben unverändert. 13 neue Risiko-/Vertragsfälle, S-01–S-05 62/62 und 8868/8868 Gesamtlauf. Kein ausgeführter SQL/RLS-/Parallelitäts-, Live-SDK-, Browser-/Layout-, Pflege-, Design- oder Rechtsnachweis; Kompatibilität nachgelagerter Signatur-, Prüf-, Korrektur- und Abrechnungsabläufe für mehrere Nachweise ist offen.</x:v>
      </x:c>
      <x:c r="N195" s="3" t="str">
        <x:f>IF(AND(H195="Umgesetzt",I195="Bestanden",OR(J195="Bestanden",J195="Entfällt geprüft"),OR(K195="Bestanden",K195="Entfällt geprüft"),OR(L195="Bestanden",L195="Entfällt geprüft"),M195&lt;&gt;""),"Abgenommen","Offen")</x:f>
        <x:v>Offen</x:v>
      </x:c>
      <x:c r="O195" s="3" t="str">
        <x:v>Patch in isolierter PostgreSQL-/Supabase-Instanz mit RLS/Funktionsgrants, sämtlichen Tarif-Einheiten, SGB-V-/SGB-XI-/Privatpositionen, Mikrosekunden-/Paralleländerung, atomarem Rollback und identischer/geänderter Request-Wiederholung ausführen. Mehrere Nachweise in Signatur, Prüfung, Korrektur/Storno, Abrechnung und Export Ende-zu-Ende prüfen. Web/Desktop breit, schmal, Tastatur, Screenreader und unterbrochene Verbindung prüfen; Pflege-, Design- und Rechtsabnahmen ergänzen.</x:v>
      </x:c>
    </x:row>
    <x:row r="196" ht="44" customHeight="1">
      <x:c r="A196" s="3" t="str">
        <x:v>S-06</x:v>
      </x:c>
      <x:c r="B196" s="3" t="str">
        <x:v>S Einsatz und Leistungsnachweise</x:v>
      </x:c>
      <x:c r="C196" s="3" t="str">
        <x:v>Bestätigung durch Klienten</x:v>
      </x:c>
      <x:c r="D196" s="3" t="str">
        <x:v>Umfang, bestätigende Person, Vertretungsgrundlage, Zeit</x:v>
      </x:c>
      <x:c r="E196" s="3" t="str">
        <x:v>Bestätigung wird nicht automatisch auf spätere geänderte Inhalte übertragen.</x:v>
      </x:c>
      <x:c r="F196" s="3" t="str">
        <x:v>S-P02</x:v>
      </x:c>
      <x:c r="G196" s="3" t="str">
        <x:v>R-03, E-01</x:v>
      </x:c>
      <x:c r="H196" s="5" t="str">
        <x:v>Teilweise umgesetzt</x:v>
      </x:c>
      <x:c r="I196" s="5" t="str">
        <x:v>Teilprüfung</x:v>
      </x:c>
      <x:c r="J196" s="5" t="str">
        <x:v>Offen</x:v>
      </x:c>
      <x:c r="K196" s="5" t="str">
        <x:v>Offen</x:v>
      </x:c>
      <x:c r="L196" s="5" t="str">
        <x:v>Offen</x:v>
      </x:c>
      <x:c r="M196" s="5" t="str">
        <x:v>CP218: Web/Desktop erfasst die Bestätigung genau eines unveränderten Leistungsnachweises mit eigener nativer Nachweis-/Pflegefall-/Signaturidentität, bestätigender Person als Klient:in oder Vertretung, konkreter Vertretungsgrundlage, Serverperson und Serverzeit. Die atomare Bestätigung speichert den vollständigen fachlichen Inhalts-Snapshot einschließlich optionaler Mehrfachnachweisposition und Originalquellen sowie einen Hash; Mikrosekunden-Guard und Request-Fingerprint sperren Paralleländerung und geänderte/fremde Wiederholung. Ein Trigger verhindert, dass später geänderte fachliche Inhalte die alte Bestätigung erben; andere Positionen werden nie mitbestätigt. Direkte Tabellenwrites sind entzogen. Der bestehende native Signaturpfad und Android bleiben unverändert. 15 neue Risiko-/Vertragsfälle, S-01–S-06 77/77 und 8883/8883 Gesamtlauf. Kein ausgeführter SQL/RLS-/Trigger-/Rollback-/Parallelitäts-, Live-SDK-, Browser-/Layout-, Pflege-, Design- oder Rechtsnachweis; Portal-/Altbestätigungen besitzen weiterhin keinen neuen Versionsbeleg.</x:v>
      </x:c>
      <x:c r="N196" s="3" t="str">
        <x:f>IF(AND(H196="Umgesetzt",I196="Bestanden",OR(J196="Bestanden",J196="Entfällt geprüft"),OR(K196="Bestanden",K196="Entfällt geprüft"),OR(L196="Bestanden",L196="Entfällt geprüft"),M196&lt;&gt;""),"Abgenommen","Offen")</x:f>
        <x:v>Offen</x:v>
      </x:c>
      <x:c r="O196" s="3" t="str">
        <x:v>Patch in isolierter PostgreSQL-/Supabase-Instanz mit RLS/Funktionsgrants, Trigger, atomarem Rollback, Mikrosekunden-/Paralleländerung, identischer/geänderter Request-Wiederholung, Klient:in/Vertretung und getrennten Mehrfachpositionen ausführen. Korrektur-/Storno-/Nachfolgefassung, Portal-/Altpfad, PDF/Export und Abrechnung Ende-zu-Ende prüfen. Web/Desktop breit, schmal, Tastatur, Screenreader und unklare Übertragung prüfen; Pflege-, Design- und Rechtsabnahmen ergänzen.</x:v>
      </x:c>
    </x:row>
    <x:row r="197" ht="44" customHeight="1">
      <x:c r="A197" s="3" t="str">
        <x:v>S-07</x:v>
      </x:c>
      <x:c r="B197" s="3" t="str">
        <x:v>S Einsatz und Leistungsnachweise</x:v>
      </x:c>
      <x:c r="C197" s="3" t="str">
        <x:v>Nachweis korrigieren</x:v>
      </x:c>
      <x:c r="D197" s="3" t="str">
        <x:v>Original, neue Version, Grund, Signaturbezug, Abrechnungsstatus</x:v>
      </x:c>
      <x:c r="E197" s="3" t="str">
        <x:v>Korrektur erhält ursprünglichen Inhalt und verhindert doppelte Abrechnung.</x:v>
      </x:c>
      <x:c r="F197" s="3" t="str">
        <x:v>S-P03</x:v>
      </x:c>
      <x:c r="G197" s="3" t="str">
        <x:v>R-03, E-01</x:v>
      </x:c>
      <x:c r="H197" s="5" t="str">
        <x:v>Teilweise umgesetzt</x:v>
      </x:c>
      <x:c r="I197" s="5" t="str">
        <x:v>Teilprüfung</x:v>
      </x:c>
      <x:c r="J197" s="5" t="str">
        <x:v>Offen</x:v>
      </x:c>
      <x:c r="K197" s="5" t="str">
        <x:v>Offen</x:v>
      </x:c>
      <x:c r="L197" s="5" t="str">
        <x:v>Offen</x:v>
      </x:c>
      <x:c r="M197" s="5" t="str">
        <x:v>CP219: Web/Desktop erzeugt statt einer Inhaltsüberschreibung eine neue unbestätigte Nachweisfassung. Die append-only Korrektur bindet native Original-, Ersatz- und Wurzelidentität, fortlaufende Korrekturversion, konkreten Grund, vollständige Original-/Ersatzsnapshots, damalige Signatur und versionsgebundene Klientenbestätigung sowie Abrechnungsfall, Status und Rechnungsgrundlage. Der exakte Mikrosekundenstand und eine an Person/Nutzlast gebundene Request-ID sichern Parallelität und Wiederholung. Ein abgerechneter oder bereits in eine Rechnungsgrundlage übernommener Nachweis wird gesperrt; ein noch nicht abgerechneter Altfall wird storniert, und ein Trigger verhindert zwei aktive Abrechnungsfälle derselben Nachweisfamilie. Korrigiert werden bisher Durchführungstext und Abweichung; finanzielle/native Identitäten bleiben erhalten. Android bleibt unverändert. 13 neue Risiko-/Vertragsfälle, S-05–S-07 41/41 und 8896/8896 Gesamtlauf. Kein ausgeführter SQL/RLS-/Trigger-/Rollback-/Parallelitäts-, Live-SDK-, Browser-/Layout-, Pflege-, Design- oder Rechtsnachweis; Mehrfachpositions-, Portal-, PDF/Export-, bereits abgerechneter Storno- und weitere fachliche Korrekturfelder bleiben offen.</x:v>
      </x:c>
      <x:c r="N197" s="3" t="str">
        <x:f>IF(AND(H197="Umgesetzt",I197="Bestanden",OR(J197="Bestanden",J197="Entfällt geprüft"),OR(K197="Bestanden",K197="Entfällt geprüft"),OR(L197="Bestanden",L197="Entfällt geprüft"),M197&lt;&gt;""),"Abgenommen","Offen")</x:f>
        <x:v>Offen</x:v>
      </x:c>
      <x:c r="O197" s="3" t="str">
        <x:v>Patch in isolierter PostgreSQL-/Supabase-Instanz mit RLS/Funktionsgrants, Triggern, atomarem Rollback, Mikrosekunden-/Paralleländerung, identischer/geänderter Request-Wiederholung, mehrstufiger Korrektur und Billing-Familiensperre ausführen. Korrektur weiterer fachlicher/finanzieller Felder, Mehrfachpositionsbezug, Storno bereits abgerechneter Fälle, Portal, PDF/Export und Abrechnung Ende-zu-Ende ergänzen. Web/Desktop breit, schmal, Tastatur, Screenreader und unklare Übertragung prüfen; Pflege-, Design- und Rechtsabnahmen ergänzen.</x:v>
      </x:c>
    </x:row>
    <x:row r="198" ht="44" customHeight="1">
      <x:c r="A198" s="3" t="str">
        <x:v>S-08</x:v>
      </x:c>
      <x:c r="B198" s="3" t="str">
        <x:v>S Einsatz und Leistungsnachweise</x:v>
      </x:c>
      <x:c r="C198" s="3" t="str">
        <x:v>Einsatz abschließen</x:v>
      </x:c>
      <x:c r="D198" s="3" t="str">
        <x:v>Pflichtdokumentation, offene Risiken, tatsächliche Zeiten, Freigabe</x:v>
      </x:c>
      <x:c r="E198" s="3" t="str">
        <x:v>Offene Pflichtangaben verhindern einen irreführend vollständigen Abschluss.</x:v>
      </x:c>
      <x:c r="F198" s="3" t="str">
        <x:v>S-P03</x:v>
      </x:c>
      <x:c r="G198" s="3" t="str">
        <x:v>R-03, E-01</x:v>
      </x:c>
      <x:c r="H198" s="5" t="str">
        <x:v>Teilweise umgesetzt</x:v>
      </x:c>
      <x:c r="I198" s="5" t="str">
        <x:v>Teilprüfung</x:v>
      </x:c>
      <x:c r="J198" s="5" t="str">
        <x:v>Offen</x:v>
      </x:c>
      <x:c r="K198" s="5" t="str">
        <x:v>Offen</x:v>
      </x:c>
      <x:c r="L198" s="5" t="str">
        <x:v>Offen</x:v>
      </x:c>
      <x:c r="M198" s="5" t="str">
        <x:v>CP220: Web/Desktop ersetzt den einfachen Statuswechsel durch einen transaktionalen Abschluss. Der Server verlangt den unveränderten mikrosekundengenauen Stopstand, einen bestätigten Öffnungs-/Startverlauf, die Einzeldokumentation aller beim Beginn gebundenen Planaufgaben und eine mindestens zehn Zeichen lange Pflichtdokumentation. Abweichung oder Nichtdurchführung erzwingt strukturiertes Risiko, Maßnahme und Folgeauftrag. Das tatsächliche Ende kommt ausschließlich von clock_timestamp(); vollständige Aufgaben- und Zeitereignissnapshots, Dokumentation, Stopstatus und ein append-only Abschlussbeleg entstehen atomar. Die Freigabe bleibt unveränderlich pending und wird weder aus Status, Text noch vorhandenem Nachweis abgeleitet. Request-ID, Fingerprint, Person und Advisory Lock sichern identische Wiederholung. Android behält seine bisherigen Kontrollen. 11 neue Fälle, Öffnung/Zeit/Aufgaben/Abschluss 48/48 und 8907/8907 Gesamtlauf. Kein ausgeführter SQL/RLS-/Trigger-/Rollback-/Parallelitäts-, Live-SDK-, Browser-/Layout-, Pflege-, Design- oder Rechtsnachweis; echte Freigabe, Risiko-Folgeworkflow, Portal, Leistungsnachweis und Abrechnung Ende-zu-Ende bleiben offen.</x:v>
      </x:c>
      <x:c r="N198" s="3" t="str">
        <x:f>IF(AND(H198="Umgesetzt",I198="Bestanden",OR(J198="Bestanden",J198="Entfällt geprüft"),OR(K198="Bestanden",K198="Entfällt geprüft"),OR(L198="Bestanden",L198="Entfällt geprüft"),M198&lt;&gt;""),"Abgenommen","Offen")</x:f>
        <x:v>Offen</x:v>
      </x:c>
      <x:c r="O198" s="3" t="str">
        <x:v>Patch in isolierter PostgreSQL-/Supabase-Instanz mit RLS/Funktionsgrants, Zeittrigger, leerem und großem Plan, fehlender/parallel ergänzter Einzeldokumentation, Abweichung/Risiko, atomarem Rollback, Mikrosekundenänderung und identischer/geänderter Request-Wiederholung ausführen. Getrennten Freigabe-/Vier-Augen-Ablauf, Folgeauftragsbearbeitung, Portal, Leistungsnachweis, PDF/Export und Abrechnung ergänzen. Web/Desktop breit, schmal, Tastatur, Screenreader und unklare Übertragung prüfen; Pflege-, Design- und Rechtsabnahmen ergänzen.</x:v>
      </x:c>
    </x:row>
    <x:row r="199" ht="44" customHeight="1">
      <x:c r="A199" s="3" t="str">
        <x:v>S-09</x:v>
      </x:c>
      <x:c r="B199" s="3" t="str">
        <x:v>S Einsatz und Leistungsnachweise</x:v>
      </x:c>
      <x:c r="C199" s="3" t="str">
        <x:v>Akuter Notfall</x:v>
      </x:c>
      <x:c r="D199" s="3" t="str">
        <x:v>Ereignis, tatsächlich veranlasste Hilfe, Kontakte, Übergabe, Verlauf</x:v>
      </x:c>
      <x:c r="E199" s="3" t="str">
        <x:v>Notfallvorgang dokumentiert reale Maßnahmen und klaren Zuständigkeitswechsel.</x:v>
      </x:c>
      <x:c r="F199" s="3" t="str">
        <x:v>S-P03</x:v>
      </x:c>
      <x:c r="G199" s="3" t="str">
        <x:v>R-03, E-01</x:v>
      </x:c>
      <x:c r="H199" s="5" t="str">
        <x:v>Teilweise umgesetzt</x:v>
      </x:c>
      <x:c r="I199" s="5" t="str">
        <x:v>Teilprüfung</x:v>
      </x:c>
      <x:c r="J199" s="5" t="str">
        <x:v>Offen</x:v>
      </x:c>
      <x:c r="K199" s="5" t="str">
        <x:v>Offen</x:v>
      </x:c>
      <x:c r="L199" s="5" t="str">
        <x:v>Offen</x:v>
      </x:c>
      <x:c r="M199" s="5" t="str">
        <x:v>CP221: Web/Desktop dokumentiert einen akuten Notfall als append-only Vorgang mit nativer Mandant-, Tour-, Stop- und Pflegefallbindung. Beobachtete Tatsachen, Dringlichkeit und tatsächlich veranlasste Sofortmaßnahme werden beim Öffnen getrennt gespeichert. Danach bilden serverseitig sequenzierte Originalereignisse weitere Sofortmaßnahmen, Kontaktversuche, tatsächliche Kontaktergebnisse, bestätigte Übergaben, Folgeaufträge und Abschluss ab. Ein Versuch darf kein Kontaktergebnis vorwegnehmen; eine Übergabe muss auf ein tatsächlich erreichtes Ergebnis zeigen und Empfänger, Rolle, übernommene Zuständigkeit und Bestätigung enthalten. Abschluss verlangt bestätigte Übergabe oder konkreten Grund ohne Übergabe sowie einen separaten verbindlichen Folgeauftrag. Person und Zeit kommen vom Server; Request-ID, Fingerprint und Advisory Lock sichern die vollständige unveränderte Wiederholung. Web warnt, dass die Dokumentation selbst keinen Notruf auslöst, und friert Nutzlast, Stopversion beziehungsweise Vorgangs-ID für einen unklaren Retry ein. Android bleibt unverändert. 13 neue Risiko-/Vertragsfälle, betroffener Einsatzablauf 86/86 und 8920/8920 Gesamtlauf. Kein ausgeführter SQL/RLS-/Trigger-/Rollback-/Parallelitäts-, Live-SDK-, Browser-/Layout-, Pflege-, Design- oder Rechtsnachweis; tatsächliche Notfallketten, fachliche Kontakt-/Übergabe-/Abschlussregeln sowie Portal/PDF/Export/Folgeworkflow bleiben offen.</x:v>
      </x:c>
      <x:c r="N199" s="3" t="str">
        <x:f>IF(AND(H199="Umgesetzt",I199="Bestanden",OR(J199="Bestanden",J199="Entfällt geprüft"),OR(K199="Bestanden",K199="Entfällt geprüft"),OR(L199="Bestanden",L199="Entfällt geprüft"),M199&lt;&gt;""),"Abgenommen","Offen")</x:f>
        <x:v>Offen</x:v>
      </x:c>
      <x:c r="O199" s="3" t="str">
        <x:v>Patch in isolierter PostgreSQL-/Supabase-Instanz mit RLS/Funktionsgrants, Triggern, atomarem Rollback, parallelen Sequenzen, Mikrosekundenänderung und identischer/geänderter Request-Wiederholung ausführen. Kontaktversuch, Ergebnis, bestätigte Übergabe, Folgeauftrag und Abschluss mit zulässigen und verweigerten Referenzen Ende-zu-Ende prüfen. Tatsächliche lokale Notfall- und Eskalationsregeln fachlich festlegen; Portal, PDF/Export und Folgeauftragsbearbeitung ergänzen. Web/Desktop breit, schmal, Tastatur, Screenreader und unklare Übertragung prüfen; Pflege-, Design- und Rechtsabnahmen ergänzen.</x:v>
      </x:c>
    </x:row>
    <x:row r="200" ht="44" customHeight="1">
      <x:c r="A200" s="3" t="str">
        <x:v>S-10</x:v>
      </x:c>
      <x:c r="B200" s="3" t="str">
        <x:v>S Einsatz und Leistungsnachweise</x:v>
      </x:c>
      <x:c r="C200" s="3" t="str">
        <x:v>Unbekanntes Speicherergebnis klären</x:v>
      </x:c>
      <x:c r="D200" s="3" t="str">
        <x:v>Anfrage-ID, unveränderte Nutzdaten, Serverabgleich, Rückmeldung</x:v>
      </x:c>
      <x:c r="E200" s="3" t="str">
        <x:v>Wiederholung bestätigt ursprüngliche Anfrage statt einer zweiten Leistung.</x:v>
      </x:c>
      <x:c r="F200" s="3" t="str">
        <x:v>S-P04</x:v>
      </x:c>
      <x:c r="G200" s="3" t="str">
        <x:v>R-03, E-01</x:v>
      </x:c>
      <x:c r="H200" s="5" t="str">
        <x:v>Teilweise umgesetzt</x:v>
      </x:c>
      <x:c r="I200" s="5" t="str">
        <x:v>Teilprüfung</x:v>
      </x:c>
      <x:c r="J200" s="5" t="str">
        <x:v>Offen</x:v>
      </x:c>
      <x:c r="K200" s="5" t="str">
        <x:v>Offen</x:v>
      </x:c>
      <x:c r="L200" s="5" t="str">
        <x:v>Offen</x:v>
      </x:c>
      <x:c r="M200" s="5" t="str">
        <x:v>CP222: Web/Desktop kann eine unklar gebliebene Notfallanlage, ein Notfallereignis oder einen Einsatzabschluss rein lesend am Server abgleichen. Der Abgleich bindet aktuellen Mandanten und dieselbe Systemperson, prüft die eindeutige Anfrage-ID und Vorgangsart, berechnet aus der vollständig eingefrorenen Nutzlast erneut den operationsspezifischen Fingerprint und bestätigt nur den passenden nativen Originalbeleg mit Stop-, Beleg- und Serverzeitidentität. Nicht gefunden bleibt ausdrücklich ungeklärt und erzeugt keine neue Anfrage; mehrdeutige, andere oder veränderte Nutzung wird als Konflikt gesperrt. Die Weboberfläche zeigt die Anfrage-ID, sendet beim Abgleich keinen klinischen Schreib-RPC und entsperrt nur nach streng validierter Bestätigung. Android bleibt unverändert. 17 neue Risiko-/Vertragsfälle, gesamter Einsatzprüflauf 103/103 und 8937/8937 Gesamtlauf. Der Abgleich ist bisher auf diese drei Schreibarten und die laufende Webformularinstanz begrenzt. Kein ausgeführter SQL/RLS-/Funktionsgrant-/Parallelitäts-, Live-SDK-, Browser-/Layout-, Pflege-, Design- oder Rechtsnachweis; ein tatsächliches Nichtvorliegen ist durch den Zeitpunktabgleich allein nicht endgültig bewiesen.</x:v>
      </x:c>
      <x:c r="N200" s="3" t="str">
        <x:f>IF(AND(H200="Umgesetzt",I200="Bestanden",OR(J200="Bestanden",J200="Entfällt geprüft"),OR(K200="Bestanden",K200="Entfällt geprüft"),OR(L200="Bestanden",L200="Entfällt geprüft"),M200&lt;&gt;""),"Abgenommen","Offen")</x:f>
        <x:v>Offen</x:v>
      </x:c>
      <x:c r="O200" s="3" t="str">
        <x:v>Patch in isolierter PostgreSQL-/Supabase-Instanz mit RLS/Funktionsgrants, fremdem Mandanten/Akteur, identischer und veränderter Nutzlast, kollidierender Vorgangsart, parallelem Commit/Abgleich und Mikrosekunden-Zeitwerten ausführen. Den eingefrorenen Abgleich auf Zeitereignisse, Aufgaben, Nichtbesuch, Mehrfachnachweise, Bestätigung und Korrektur erweitern und eine geschützte Wiederaufnahme nach Reload/Absturz ohne Klartext-Pflegedatenverlust konzipieren. Nicht-gefunden-Zustand, bewussten identischen Retry und später bestätigten Originalbeleg Ende-zu-Ende prüfen. Web/Desktop breit, schmal, Tastatur und Screenreader prüfen; Pflege-, Design- und Rechtsabnahmen ergänzen.</x:v>
      </x:c>
    </x:row>
    <x:row r="201" ht="44" customHeight="1">
      <x:c r="A201" s="3" t="str">
        <x:v>T-01</x:v>
      </x:c>
      <x:c r="B201" s="3" t="str">
        <x:v>T Finanzierung und Verträge</x:v>
      </x:c>
      <x:c r="C201" s="3" t="str">
        <x:v>Versorgungsvertrag</x:v>
      </x:c>
      <x:c r="D201" s="3" t="str">
        <x:v>Partner, Leistungsgrundlage, Beginn, Ende, Unterschrift, Version</x:v>
      </x:c>
      <x:c r="E201" s="3" t="str">
        <x:v>Aktive Versorgung besitzt nachvollziehbare gültige Vertragsgrundlage.</x:v>
      </x:c>
      <x:c r="F201" s="3" t="str">
        <x:v>T-P01</x:v>
      </x:c>
      <x:c r="G201" s="3" t="str">
        <x:v>B-07, A-05</x:v>
      </x:c>
      <x:c r="H201" s="5" t="str">
        <x:v>Teilweise umgesetzt</x:v>
      </x:c>
      <x:c r="I201" s="5" t="str">
        <x:v>Teilprüfung</x:v>
      </x:c>
      <x:c r="J201" s="5" t="str">
        <x:v>Offen</x:v>
      </x:c>
      <x:c r="K201" s="5" t="str">
        <x:v>Offen</x:v>
      </x:c>
      <x:c r="L201" s="5" t="str">
        <x:v>Offen</x:v>
      </x:c>
      <x:c r="M201" s="5" t="str">
        <x:v>CP223: T-01 ergänzt client_contracts additiv um Vertragspartner, Leistungsgrundlage und positive Vertragsversion; Bestandszeilen bleiben bis zur tatsächlichen Prüfung NULL. Der Mapper bewahrt die drei nativen Werte, die Aktenbelegansicht zeigt sie getrennt von Status, Zeitraum und Unterzeichnungszeit. Eine konservative Bewertung kennzeichnet eine Vertragsgrundlage nur dann als dokumentiert und am gewählten Kalendertag aktuell, wenn Nummer, Partner, Leistungsgrundlage, gültiger Beginn, ausdrücklich unbefristetes oder noch nicht abgelaufenes Ende, aktiver Workflow, gültige hinterlegte Unterzeichnungszeit, Dokumentreferenz und positive Version vorhanden sind. Fehlende, ungültige, künftige und abgelaufene Werte bleiben getrennt offen; eine Unterzeichnungszeit wird ausdrücklich nicht als Signaturauthentifizierung oder Rechtswirksamkeit ausgegeben. 17 neue Domänen-/SQL-Fälle und bestehende Aktenbelegfälle 56/56; vollständiger Node-Lauf 8954/8954. Kein ausgeführter SQL-/RLS-, Live-Repository-, Browser-/Layout-, Pflege-, Design- oder Rechtsnachweis; Vertragspartner und Leistungsgrundlage werden nicht aus Kostenträger, Notiz oder Status erfunden.</x:v>
      </x:c>
      <x:c r="N201" s="3" t="str">
        <x:f>IF(AND(H201="Umgesetzt",I201="Bestanden",OR(J201="Bestanden",J201="Entfällt geprüft"),OR(K201="Bestanden",K201="Entfällt geprüft"),OR(L201="Bestanden",L201="Entfällt geprüft"),M201&lt;&gt;""),"Abgenommen","Offen")</x:f>
        <x:v>Offen</x:v>
      </x:c>
      <x:c r="O201" s="3" t="str">
        <x:v>Patch in isolierter PostgreSQL-/Supabase-Instanz ausführen und RLS, bestehende NULL-Zeilen, Mapping sowie parallele Änderungen prüfen. Einen echten Versorgungsvertrag mit Originaldokument, Vertragsparteien, Leistungsgrundlage, Beginn/Ende, Version und nachgewiesener Signaturherkunft Ende-zu-Ende erfassen; Korrektur/Versionierung statt Überschreiben sowie abgelaufene, künftige und widersprüchliche Fassungen prüfen. Web/Desktop breit, schmal, Tastatur und Screenreader prüfen und Pflege-, Design- und Rechtsabnahmen ergänzen. T-02 und T-03 bleiben unabhängig offen.</x:v>
      </x:c>
    </x:row>
    <x:row r="202" ht="44" customHeight="1">
      <x:c r="A202" s="3" t="str">
        <x:v>T-02</x:v>
      </x:c>
      <x:c r="B202" s="3" t="str">
        <x:v>T Finanzierung und Verträge</x:v>
      </x:c>
      <x:c r="C202" s="3" t="str">
        <x:v>Parallele Finanzierungen</x:v>
      </x:c>
      <x:c r="D202" s="3" t="str">
        <x:v>SGB XI, SGB V, private Leistungen, Kostenträger, Zeiträume</x:v>
      </x:c>
      <x:c r="E202" s="3" t="str">
        <x:v>Ein Klient kann mehrere getrennte gültige Finanzierungswege besitzen.</x:v>
      </x:c>
      <x:c r="F202" s="3" t="str">
        <x:v>T-P01</x:v>
      </x:c>
      <x:c r="G202" s="3" t="str">
        <x:v>B-07, A-05</x:v>
      </x:c>
      <x:c r="H202" s="5" t="str">
        <x:v>Teilweise umgesetzt</x:v>
      </x:c>
      <x:c r="I202" s="5" t="str">
        <x:v>Teilprüfung</x:v>
      </x:c>
      <x:c r="J202" s="5" t="str">
        <x:v>Offen</x:v>
      </x:c>
      <x:c r="K202" s="5" t="str">
        <x:v>Offen</x:v>
      </x:c>
      <x:c r="L202" s="5" t="str">
        <x:v>Offen</x:v>
      </x:c>
      <x:c r="M202" s="5" t="str">
        <x:v>CP224: T-02 ergänzt für Web/Desktop ein additives append-only Modell client_financing_paths mit eigener nativer Pfad- und logischer Identität, Mandant/Pflegefall, SGB-XI-/SGB-V-/Privat-/sonstiger Grundlage, optionaler Kostenträgerzuordnung, Kostenträgername/IK, Originalgrundlagenreferenz, Beginn/Ende, Status, Version und Vorgängerbezug. Es gibt bewusst kein Backfill und keine Ableitung aus der bisherigen bloßen Finanzierungsartenauswahl. Die Lesefunktion filtert Mandant, Pflegefall und aktuelle Fassung, verweigert fremde oder unvollständige Originaldaten und liefert alle Wege einzeln. Die Tagesbewertung erhält zeitgleich gültige SGB-XI-, SGB-V- und Privatwege ebenso wie mehrere Wege derselben Art mit anderem Kostenträger oder anderer Originalgrundlage; sie verschmilzt nichts und wählt keinen Kostenträger. Die Webansicht zeigt jeden Weg separat samt Zeitraum, Version und Grundlage; die native Standardkomponente bleibt leer und Android unverändert. 17 neue Domänen-/SQL-/Plattformfälle, 67/67 bestehende Finanzhistorienfälle und 8971/8971 vollständiger Node-Lauf. Kein ausgeführter SQL-/RLS-, Live-Repository-/Schreib-, Browser-/Layout-, Pflege-, Design- oder Rechtsnachweis; aktuelle Anzeige bestätigt keinen Anspruch, keine Genehmigung und keine Abrechnungsfreigabe.</x:v>
      </x:c>
      <x:c r="N202" s="3" t="str">
        <x:f>IF(AND(H202="Umgesetzt",I202="Bestanden",OR(J202="Bestanden",J202="Entfällt geprüft"),OR(K202="Bestanden",K202="Entfällt geprüft"),OR(L202="Bestanden",L202="Entfällt geprüft"),M202&lt;&gt;""),"Abgenommen","Offen")</x:f>
        <x:v>Offen</x:v>
      </x:c>
      <x:c r="O202" s="3" t="str">
        <x:v>Patch in einer isolierten PostgreSQL-/Supabase-Instanz ausführen und Tabellenrechte/RLS mit fremdem Mandanten und Pflegefall prüfen. Append-only Anlage, Versionierung/Ablösung, Parallelität und Mikrosekundenhistorie über einen autorisierten Schreibpfad ergänzen, ohne alte Pfade zu überschreiben. Echte parallele SGB-XI-, SGB-V- und Privatgrundlagen mit Originalbescheiden/-verträgen, überlappenden und endenden Zeiträumen Ende-zu-Ende prüfen. Web/Desktop breit, schmal, Tastatur und Screenreader prüfen sowie Pflege-, Design- und Rechtsabnahmen einholen.</x:v>
      </x:c>
    </x:row>
    <x:row r="203" ht="44" customHeight="1">
      <x:c r="A203" s="3" t="str">
        <x:v>T-03</x:v>
      </x:c>
      <x:c r="B203" s="3" t="str">
        <x:v>T Finanzierung und Verträge</x:v>
      </x:c>
      <x:c r="C203" s="3" t="str">
        <x:v>Genehmigung und Fristen</x:v>
      </x:c>
      <x:c r="D203" s="3" t="str">
        <x:v>Antrag, Zeitraum, Entscheidung, Restlaufzeit, Folgeverordnung</x:v>
      </x:c>
      <x:c r="E203" s="3" t="str">
        <x:v>Abgelaufene Finanzierung wird vor neuer abrechenbarer Leistung sichtbar.</x:v>
      </x:c>
      <x:c r="F203" s="3" t="str">
        <x:v>T-P01</x:v>
      </x:c>
      <x:c r="G203" s="3" t="str">
        <x:v>B-07, A-05</x:v>
      </x:c>
      <x:c r="H203" s="5" t="str">
        <x:v>Teilweise umgesetzt</x:v>
      </x:c>
      <x:c r="I203" s="5" t="str">
        <x:v>Teilprüfung</x:v>
      </x:c>
      <x:c r="J203" s="5" t="str">
        <x:v>Offen</x:v>
      </x:c>
      <x:c r="K203" s="5" t="str">
        <x:v>Offen</x:v>
      </x:c>
      <x:c r="L203" s="5" t="str">
        <x:v>Offen</x:v>
      </x:c>
      <x:c r="M203" s="5" t="str">
        <x:v>CP225: T-03 ergänzt für Web/Desktop je konkretem Finanzierungsweg append-only Antrags- und Entscheidungsfassungen mit eigener Identität, Mandant/Pflegefall/Pfad, Antragsdatum, beantragtem Zeitraum, Entscheidungsstatus und -referenz, Entscheidungsdatum, getrenntem genehmigtem Zeitraum, Folgeverordnungsfrist, Version und Vorgängerbezug. Die Domäne hält beantragt, genehmigt, abgelehnt und zurückgezogen getrennt; ein beantragter Zeitraum, ein Kostenträger oder ein vorhandener Finanzierungsweg wird nie als Genehmigung, Anspruch oder Abrechnungsfreigabe gedeutet. Nur vollständig belegte genehmigte Fassungen können am strikten Prüftag `approved_current` sein; letzter genehmigter Tag und exakte Resttage, künftige oder abgelaufene Zeiträume sowie überfällige, bald fällige, nicht fällige und nicht dokumentierte Folgeschritte bleiben sichtbar. Web/Desktop ordnet jede Fassung ihrem exakten Weg unter; die native Standardkomponente bleibt leer und Android unverändert. 19 neue Domänen-/SQL-/Plattformfälle, zusammen mit T-02 36/36 und 8990/8990 vollständiger Node-Lauf. Kein ausgeführter SQL-/RLS-/Composite-FK-, Live-Schreib-/Ablöse-, Browser-/Layout-, Pflege-, Design- oder Rechtsnachweis; vorhandene Anzeige bestätigt keine klinische Durchführung oder finanzielle Freigabe.</x:v>
      </x:c>
      <x:c r="N203" s="3" t="str">
        <x:f>IF(AND(H203="Umgesetzt",I203="Bestanden",OR(J203="Bestanden",J203="Entfällt geprüft"),OR(K203="Bestanden",K203="Entfällt geprüft"),OR(L203="Bestanden",L203="Entfällt geprüft"),M203&lt;&gt;""),"Abgenommen","Offen")</x:f>
        <x:v>Offen</x:v>
      </x:c>
      <x:c r="O203" s="3" t="str">
        <x:v>Patch in einer isolierten PostgreSQL-/Supabase-Instanz ausführen und Composite-FK, Tabellenrechte sowie RLS mit fremdem Mandanten, Pflegefall und Finanzierungsweg prüfen. Einen autorisierten append-only Schreib- und Versionsablösepfad mit Konkurrenzfällen und mikrosekundengenauer Originalhistorie ergänzen. Echte Anträge, Entscheidungen, genehmigte und beantragte Zeiträume, Restlaufzeit und Folgeverordnung Ende-zu-Ende einschließlich Fehlerzuständen prüfen. Web/Desktop breit, schmal, Tastatur und Screenreader prüfen sowie Pflege-, Design- und Rechtsabnahmen einholen.</x:v>
      </x:c>
    </x:row>
    <x:row r="204" ht="44" customHeight="1">
      <x:c r="A204" s="3" t="str">
        <x:v>T-04</x:v>
      </x:c>
      <x:c r="B204" s="3" t="str">
        <x:v>T Finanzierung und Verträge</x:v>
      </x:c>
      <x:c r="C204" s="3" t="str">
        <x:v>Tarif und Leistungsposition</x:v>
      </x:c>
      <x:c r="D204" s="3" t="str">
        <x:v>Region, Kostenträger, IK, Preis, Einheit, Gültigkeit</x:v>
      </x:c>
      <x:c r="E204" s="3" t="str">
        <x:v>Leistungsdatum wählt den passenden gültigen Tarif statt den aktuellen Standardpreis.</x:v>
      </x:c>
      <x:c r="F204" s="3" t="str">
        <x:v>T-P02</x:v>
      </x:c>
      <x:c r="G204" s="3" t="str">
        <x:v>B-07, A-05</x:v>
      </x:c>
      <x:c r="H204" s="5" t="str">
        <x:v>Teilweise umgesetzt</x:v>
      </x:c>
      <x:c r="I204" s="5" t="str">
        <x:v>Teilprüfung</x:v>
      </x:c>
      <x:c r="J204" s="5" t="str">
        <x:v>Offen</x:v>
      </x:c>
      <x:c r="K204" s="5" t="str">
        <x:v>Offen</x:v>
      </x:c>
      <x:c r="L204" s="5" t="str">
        <x:v>Offen</x:v>
      </x:c>
      <x:c r="M204" s="5" t="str">
        <x:v>CP226: T-04 ergänzt für Web/Desktop append-only Tarif-/Leistungspositionen mit eigener und logischer Identität, Mandant, Pflegefall, exaktem Finanzierungsweg, Region, Kostenträgerzuordnung/-name/IK, Leistungscode/-bezeichnung, Einheit, Centpreis, EUR, Gültigkeit, ausdrücklich unbefristeter Kennzeichnung, Originalvereinbarung, Version und Vorgängerbezug. Die Auswahl prüft das tatsächliche Leistungsdatum und exakte Mandant-/Fall-/Weg-/Region-/Kostenträger-/Leistungsschlüssel; sie wählt für historische Daten die damalige Position statt einer neueren Standardposition. Fehlende Gültigkeit erzeugt keinen Fallback, und mehrere passende Positionen werden als Mehrdeutigkeit verweigert. Alle historischen Fassungen bleiben lesbar. Web/Desktop zeigt Preis, Einheit, Region, Kostenträger, Gültigkeit, Version und Originalgrundlage unter dem exakten Weg; Android bleibt unverändert. 24 neue Domänen-/SQL-/Verlaufs-/Plattformfälle, T-02 bis T-04 60/60 und 9014/9014 vollständiger Node-Lauf. Kein ausgeführter SQL-/RLS-/Live-Schreib-/Ablöse-, Browser-/Layout-, Pflege-, Design- oder Rechtsnachweis; eine Tarifposition ist keine Genehmigung oder Abrechnungsfreigabe.</x:v>
      </x:c>
      <x:c r="N204" s="3" t="str">
        <x:f>IF(AND(H204="Umgesetzt",I204="Bestanden",OR(J204="Bestanden",J204="Entfällt geprüft"),OR(K204="Bestanden",K204="Entfällt geprüft"),OR(L204="Bestanden",L204="Entfällt geprüft"),M204&lt;&gt;""),"Abgenommen","Offen")</x:f>
        <x:v>Offen</x:v>
      </x:c>
      <x:c r="O204" s="3" t="str">
        <x:v>Patch in einer isolierten PostgreSQL-/Supabase-Instanz ausführen und Composite-FK, RLS, Tabellenrechte, Gültigkeitsgrenzen und konkurrierende/überlappende Positionen prüfen. Einen autorisierten append-only Schreib- und Versionsablösepfad mit mikrosekundengenauer Originalhistorie ergänzen. Echte regionale Kassen-, Privat- und sonstige Tarifvereinbarungen mit historischen Leistungsdaten, Preis-/Einheitenwechseln und Originalbelegen Ende-zu-Ende prüfen; Mehrdeutigkeiten fachlich auflösen statt automatisch zu wählen. Web/Desktop breit, schmal, Tastatur und Screenreader prüfen sowie Pflege-, Design- und Rechtsabnahmen einholen.</x:v>
      </x:c>
    </x:row>
    <x:row r="205" ht="44" customHeight="1">
      <x:c r="A205" s="3" t="str">
        <x:v>T-05</x:v>
      </x:c>
      <x:c r="B205" s="3" t="str">
        <x:v>T Finanzierung und Verträge</x:v>
      </x:c>
      <x:c r="C205" s="3" t="str">
        <x:v>Mengen und Geldberechnung</x:v>
      </x:c>
      <x:c r="D205" s="3" t="str">
        <x:v>Menge, Einheit, Rundungsregel, Centbetrag, Zuschlag</x:v>
      </x:c>
      <x:c r="E205" s="3" t="str">
        <x:v>Referenzfälle prüfen Rundung, kleine Mengen, Grenzen und ungültige Eingaben.</x:v>
      </x:c>
      <x:c r="F205" s="3" t="str">
        <x:v>T-P02</x:v>
      </x:c>
      <x:c r="G205" s="3" t="str">
        <x:v>B-07, A-05</x:v>
      </x:c>
      <x:c r="H205" s="5" t="str">
        <x:v>Teilweise umgesetzt</x:v>
      </x:c>
      <x:c r="I205" s="5" t="str">
        <x:v>Teilprüfung</x:v>
      </x:c>
      <x:c r="J205" s="5" t="str">
        <x:v>Offen</x:v>
      </x:c>
      <x:c r="K205" s="5" t="str">
        <x:v>Offen</x:v>
      </x:c>
      <x:c r="L205" s="5" t="str">
        <x:v>Offen</x:v>
      </x:c>
      <x:c r="M205" s="5" t="str">
        <x:v>CP227: T-05 ergänzt den CP226-Tarifstand um explizite nullable Rundungsregel, prozentualen Zuschlag in Basispunkten und Festzuschlag in Cent. Die neue reine Web/Desktop-Domäne parst positive Dezimalmengen mit höchstens drei Nachkommastellen als Text und rechnet Grundbetrag, prozentualen Zuschlag und Gesamtbetrag ausschließlich über BigInt-Verhältnisse; kaufmännisches Runden, Auf- und Abrunden werden unterschieden. Einheit, native Tarifpositions-ID und exakter Finanzierungsweg bleiben im Ergebnis erhalten. Fehlende Regeln oder Zuschläge, Null-/Negativmengen, Exponenten, Tausendertrennzeichen, mehr als drei Dezimalstellen, ungültige Parameter und Betragsüberschreitungen werden verweigert. Altzeilen bleiben ohne Backfill ausdrücklich unvollständig. Additive SQL-Spalten und eine exakte numeric-Funktion sind lokal vorbereitet; Web/Desktop zeigt Regel/Zuschlag oder die offene Dokumentation, Android bleibt unverändert. 20 neue Fälle, T-02 bis T-05 80/80 und 9034/9034 vollständiger Node-Lauf. Kein ausgeführter SQL-/RLS-, Live-SDK-/Abrechnungs-, Browser-/Layout-, Pflege-, Design- oder Rechtsnachweis; der ältere operative Mengenrechner ist noch nicht auf den neuen historischen Tarifpfad migriert.</x:v>
      </x:c>
      <x:c r="N205" s="3" t="str">
        <x:f>IF(AND(H205="Umgesetzt",I205="Bestanden",OR(J205="Bestanden",J205="Entfällt geprüft"),OR(K205="Bestanden",K205="Entfällt geprüft"),OR(L205="Bestanden",L205="Entfällt geprüft"),M205&lt;&gt;""),"Abgenommen","Offen")</x:f>
        <x:v>Offen</x:v>
      </x:c>
      <x:c r="O205" s="3" t="str">
        <x:v>Patch in einer isolierten PostgreSQL-/Supabase-Instanz ausführen und numeric-Rundung, Constraints, Funktionsrechte, RLS und Parallelität mit denselben Referenzfällen prüfen. Den neuen exakten Rechner an den autorisierten Leistungs-/Abrechnungspfad binden, ohne den älteren operativen Mengenrechner oder historische Positionen still umzudeuten; Reihenfolge und Anwendbarkeit von Prozent- und Festzuschlägen je Originalvereinbarung fachlich belegen. Echte kleine Mengen, Grenzbeträge, Storno/Korrektur und Preis-/Einheitenwechsel Ende-zu-Ende prüfen. Web/Desktop breit, schmal, Tastatur und Screenreader prüfen sowie Pflege-, Design- und Rechtsabnahmen einholen.</x:v>
      </x:c>
    </x:row>
    <x:row r="206" ht="44" customHeight="1">
      <x:c r="A206" s="3" t="str">
        <x:v>T-06</x:v>
      </x:c>
      <x:c r="B206" s="3" t="str">
        <x:v>T Finanzierung und Verträge</x:v>
      </x:c>
      <x:c r="C206" s="3" t="str">
        <x:v>Budgets und Anspruch</x:v>
      </x:c>
      <x:c r="D206" s="3" t="str">
        <x:v>Leistungsart, individuelle Grundlage, Zeitraum, Verbrauch</x:v>
      </x:c>
      <x:c r="E206" s="3" t="str">
        <x:v>Verbrauch zählt keine stornierten oder korrigierten Vorgänger doppelt.</x:v>
      </x:c>
      <x:c r="F206" s="3" t="str">
        <x:v>T-P02</x:v>
      </x:c>
      <x:c r="G206" s="3" t="str">
        <x:v>B-07, A-05</x:v>
      </x:c>
      <x:c r="H206" s="5" t="str">
        <x:v>Teilweise umgesetzt</x:v>
      </x:c>
      <x:c r="I206" s="5" t="str">
        <x:v>Teilprüfung</x:v>
      </x:c>
      <x:c r="J206" s="5" t="str">
        <x:v>Offen</x:v>
      </x:c>
      <x:c r="K206" s="5" t="str">
        <x:v>Offen</x:v>
      </x:c>
      <x:c r="L206" s="5" t="str">
        <x:v>Offen</x:v>
      </x:c>
      <x:c r="M206" s="5" t="str">
        <x:v>CP228: T-06 ergänzt für Web/Desktop individuell belegte Anspruchszeiträume mit nativer Mandant-, Pflegefall- und Finanzierungsweg-ID, exakter Leistungsart, Originalgrundlage, Beginn/Ende und Centbetrag. Verbrauchsereignisse sind append-only und erhalten Leistungsdatum, Betrag, Ereignisart, Originalbeleg, Mikrosekundenzeit und genau einen nativen Vorgänger. Erstverbrauch, Korrektur und Storno bleiben getrennt; die Projektion zählt nur eindeutige aktuelle Kettenköpfe, sodass ersetzte oder stornierte Vorgänger historisch erhalten bleiben, aber nicht doppelt wirken. Fehlender/fremder Vorgänger, fremder Scope, außerhalb liegendes Leistungsdatum, rückwärts erfasste oder konkurrierende Nachfolger und unvollständige Grundlage werden verweigert. Additives SQL bindet Anspruch und Ereignis über Composite-FKs, sperrt mehrere Nachfolger und gibt nur SELECT/INSERT frei. Web/Desktop zeigt Grundlage, Zeitraum, wirksamen Verbrauch, Rest und Historienzahl; Android bleibt unverändert. 23 neue Fälle, T-02 bis T-06 103/103 und 9057/9057 vollständiger Node-Lauf. Kein ausgeführter SQL-/RLS-/Trigger-/Parallelitäts-, Live-SDK-/Leistungs-/Abrechnungs-, Browser-/Layout-, Pflege-, Design- oder Rechtsnachweis; die älteren mutablen Budgetzähler sind nicht still migriert.</x:v>
      </x:c>
      <x:c r="N206" s="3" t="str">
        <x:f>IF(AND(H206="Umgesetzt",I206="Bestanden",OR(J206="Bestanden",J206="Entfällt geprüft"),OR(K206="Bestanden",K206="Entfällt geprüft"),OR(L206="Bestanden",L206="Entfällt geprüft"),M206&lt;&gt;""),"Abgenommen","Offen")</x:f>
        <x:v>Offen</x:v>
      </x:c>
      <x:c r="O206" s="3" t="str">
        <x:v>Patch in einer isolierten PostgreSQL-/Supabase-Instanz ausführen und Composite-FKs, Trigger, Tabellenrechte, RLS, Mikrosekundenreihenfolge und konkurrierende Korrekturen mit fremdem Mandanten/Pflegefall/Weg prüfen. Einen autorisierten transaktionalen Schreibpfad für Anspruch, Verbrauch, Korrektur und Storno anbinden und die Projektion kontrolliert mit den bestehenden Budgetkonten abstimmen, ohne historische Zähler umzudeuten. Echte individuelle Bescheide, Leistungsarten, Zeiträume, Überziehungen, Korrekturen und Storni Ende-zu-Ende prüfen. Web/Desktop breit, schmal, Tastatur und Screenreader prüfen sowie Pflege-, Design- und Rechtsabnahmen einholen.</x:v>
      </x:c>
    </x:row>
    <x:row r="207" ht="44" customHeight="1">
      <x:c r="A207" s="3" t="str">
        <x:v>T-07</x:v>
      </x:c>
      <x:c r="B207" s="3" t="str">
        <x:v>T Finanzierung und Verträge</x:v>
      </x:c>
      <x:c r="C207" s="3" t="str">
        <x:v>Kostenvoranschlag</x:v>
      </x:c>
      <x:c r="D207" s="3" t="str">
        <x:v>Leistungen, Häufigkeit, Eigenanteil, Zeitraum, Annahme</x:v>
      </x:c>
      <x:c r="E207" s="3" t="str">
        <x:v>Annahme ist zur konkreten Angebotsversion nachvollziehbar.</x:v>
      </x:c>
      <x:c r="F207" s="3" t="str">
        <x:v>T-P03</x:v>
      </x:c>
      <x:c r="G207" s="3" t="str">
        <x:v>B-07, A-05</x:v>
      </x:c>
      <x:c r="H207" s="5" t="str">
        <x:v>Teilweise umgesetzt</x:v>
      </x:c>
      <x:c r="I207" s="5" t="str">
        <x:v>Teilprüfung</x:v>
      </x:c>
      <x:c r="J207" s="5" t="str">
        <x:v>Offen</x:v>
      </x:c>
      <x:c r="K207" s="5" t="str">
        <x:v>Offen</x:v>
      </x:c>
      <x:c r="L207" s="5" t="str">
        <x:v>Offen</x:v>
      </x:c>
      <x:c r="M207" s="5" t="str">
        <x:v>CP229: T-07 ergänzt für Web/Desktop append-only Kostenvoranschlagsversionen mit nativer Mandant-, Pflegefall-, Finanzierungsweg- und logischer Angebots-ID, Versionsnummer, Inhaltsfingerprint, Angebotsfrist, getrenntem Leistungszeitraum und exakter Kostenträger-/Eigenanteilsaufteilung. Leistungszeilen frieren vollständigen Scope, Tarifpositions-ID, Leistung, Einheit, Dezimalmenge, Häufigkeit sowie Einzel- und Gesamtbetrag ein. Annahme/Ablehnung bindet zusätzlich die konkrete Versions-ID, logische ID, Versionsnummer und den identischen Fingerprint samt Person, Rolle, Mikrosekundenzeit und Originalnachweis. Fremder Scope, andere oder veränderte Version, mehrere Entscheidungen, Entscheidung zum Entwurf, falsche Kostenaufteilung und mehrdeutige Zeilen werden verweigert; spätere Tarife verändern die historische Fassung nicht. Additives SQL verwendet Composite-FKs, direkte Vorgängerversion, eindeutigen Nachfolger/eine Entscheidung und nur SELECT/INSERT. Web/Desktop zeigt konkrete Version, Zeitraum, Eigenanteil und Annahmenachweis; Android bleibt unverändert. 31 neue Fälle, T-02 bis T-07 134/134 und 9088/9088 vollständiger Node-Lauf. Kein ausgeführter SQL-/RLS-/Trigger-/Parallelitäts-, Live-SDK-/Dokumenterzeugungs-/Signatur-, Browser-/Layout-, Pflege-, Design- oder Rechtsnachweis; Annahme belegt weder Vertrag, Leistungserbringung noch Abrechnungsfreigabe.</x:v>
      </x:c>
      <x:c r="N207" s="3" t="str">
        <x:f>IF(AND(H207="Umgesetzt",I207="Bestanden",OR(J207="Bestanden",J207="Entfällt geprüft"),OR(K207="Bestanden",K207="Entfällt geprüft"),OR(L207="Bestanden",L207="Entfällt geprüft"),M207&lt;&gt;""),"Abgenommen","Offen")</x:f>
        <x:v>Offen</x:v>
      </x:c>
      <x:c r="O207" s="3" t="str">
        <x:v>Patch in einer isolierten PostgreSQL-/Supabase-Instanz ausführen und Composite-FKs, direkte Versionskette, Inhaltsfingerprint, Tabellenrechte, RLS, Mikrosekundenreihenfolge und konkurrierende Entscheidungen mit fremdem Mandanten/Pflegefall/Weg prüfen. Einen autorisierten transaktionalen Schreibpfad samt Dokumenterzeugung anbinden und nachweisen, dass Leistungszeilen und Fingerprint exakt der ausgegebenen Version entsprechen. Echte Angebote, Annahme/Ablehnung, spätere Tarifänderung und Folgevertrag Ende-zu-Ende prüfen. Web/Desktop breit, schmal, Tastatur und Screenreader prüfen sowie Pflege-, Design- und Rechtsabnahmen einholen.</x:v>
      </x:c>
    </x:row>
    <x:row r="208" ht="44" customHeight="1">
      <x:c r="A208" s="3" t="str">
        <x:v>T-08</x:v>
      </x:c>
      <x:c r="B208" s="3" t="str">
        <x:v>T Finanzierung und Verträge</x:v>
      </x:c>
      <x:c r="C208" s="3" t="str">
        <x:v>Vertrag ändern oder schließen</x:v>
      </x:c>
      <x:c r="D208" s="3" t="str">
        <x:v>Grund, Wirksamkeit, Vorgängerversion, Folgen</x:v>
      </x:c>
      <x:c r="E208" s="3" t="str">
        <x:v>Historisch gültige Leistungen bleiben nach Schließung korrekt zuordenbar.</x:v>
      </x:c>
      <x:c r="F208" s="3" t="str">
        <x:v>T-P03</x:v>
      </x:c>
      <x:c r="G208" s="3" t="str">
        <x:v>B-07, A-05</x:v>
      </x:c>
      <x:c r="H208" s="5" t="str">
        <x:v>Teilweise umgesetzt</x:v>
      </x:c>
      <x:c r="I208" s="5" t="str">
        <x:v>Teilprüfung</x:v>
      </x:c>
      <x:c r="J208" s="5" t="str">
        <x:v>Offen</x:v>
      </x:c>
      <x:c r="K208" s="5" t="str">
        <x:v>Offen</x:v>
      </x:c>
      <x:c r="L208" s="5" t="str">
        <x:v>Offen</x:v>
      </x:c>
      <x:c r="M208" s="5" t="str">
        <x:v>CP230: T-08 ergänzt für Web/Desktop eine append-only Vertragslebenszykluskette mit nativer Bestandsvertrags-ID, logischer Vertrags-ID, Ereignis-ID, lückenloser Version, Art, Wirksamkeitsdatum, Grund, Folgen, unmittelbarem Vorgänger, eingefrorenen Vertragsdaten, Originalbeleg, Inhaltsfingerprint und mikrosekundengenauer Erfassungszeit. Änderung und Schließung benötigen Grund und Folgen; eine Schließung ist terminal. Historische Leistungsreferenzen binden Mandant, Pflegefall, logischen Vertrag, konkrete Ereignis-ID, Version, Fingerprint, Leistungsreferenz und Leistungsdatum. Die datumsgültige Fassung wird ohne heutigen Fallback gewählt; ab Schließungsdatum ist keine neue Zuordnung möglich. Zukünftige Schließungen erhalten frühere Bindungen, rückwirkende Ereignisse mit bereits betroffenen Bindungen werden gesperrt. Additives SQL verwendet Composite-FKs, native Bestandsvertragsprüfung, eindeutigen Nachfolger, Trigger und nur SELECT/INSERT; kein Backfill. Web/Desktop zeigt Zustand, Fassung, Wirksamkeit, Grund/Folgen und historische Bindungszahl; Android bleibt unverändert. 30 neue Fälle, T-02 bis T-08 164/164 und 9118/9118 vollständiger Node-Lauf. Kein ausgeführter SQL-/RLS-/Trigger-/Parallelitäts-, autorisierter Live-Schreib-, Live-SDK-, Browser-/Layout-, Pflege-, Design- oder Rechtsnachweis; Leistungsreferenz belegt weder Durchführung noch Abrechnungs- oder Rechtsfreigabe.</x:v>
      </x:c>
      <x:c r="N208" s="3" t="str">
        <x:f>IF(AND(H208="Umgesetzt",I208="Bestanden",OR(J208="Bestanden",J208="Entfällt geprüft"),OR(K208="Bestanden",K208="Entfällt geprüft"),OR(L208="Bestanden",L208="Entfällt geprüft"),M208&lt;&gt;""),"Abgenommen","Offen")</x:f>
        <x:v>Offen</x:v>
      </x:c>
      <x:c r="O208" s="3" t="str">
        <x:v>Patch in einer isolierten PostgreSQL-/Supabase-Instanz ausführen und native Vertragsbindung, Composite-FKs, Versions-/Vorgängerkette, eindeutigen Nachfolger, terminale Schließung, Rückwirkungsblockade, Tabellenrechte, RLS und konkurrierende Inserts mit fremdem Mandanten/Pflegefall prüfen. Einen autorisierten transaktionalen Schreibpfad für Erstfassung, Änderung, Schließung und Leistungsbindung anbinden. Echte Altleistung vor Änderung/Schließung, Grenztag, spätere Abrechnung und rückwirkende Konflikte Ende-zu-Ende prüfen. Web/Desktop breit, schmal, Tastatur und Screenreader prüfen sowie Pflege-, Design- und Rechtsabnahmen einholen.</x:v>
      </x:c>
    </x:row>
    <x:row r="209" ht="44" customHeight="1">
      <x:c r="A209" s="3" t="str">
        <x:v>T-09</x:v>
      </x:c>
      <x:c r="B209" s="3" t="str">
        <x:v>T Finanzierung und Verträge</x:v>
      </x:c>
      <x:c r="C209" s="3" t="str">
        <x:v>Leistungskombinationen prüfen</x:v>
      </x:c>
      <x:c r="D209" s="3" t="str">
        <x:v>Kostenträger, Leistungsarten, Ausschlüsse, Zuschläge, gültige Regel</x:v>
      </x:c>
      <x:c r="E209" s="3" t="str">
        <x:v>Unzulässige Kombination wird mit konkreter Regel und Datum begründet angezeigt.</x:v>
      </x:c>
      <x:c r="F209" s="3" t="str">
        <x:v>T-P03</x:v>
      </x:c>
      <x:c r="G209" s="3" t="str">
        <x:v>B-07, A-05</x:v>
      </x:c>
      <x:c r="H209" s="5" t="str">
        <x:v>Teilweise umgesetzt</x:v>
      </x:c>
      <x:c r="I209" s="5" t="str">
        <x:v>Teilprüfung</x:v>
      </x:c>
      <x:c r="J209" s="5" t="str">
        <x:v>Offen</x:v>
      </x:c>
      <x:c r="K209" s="5" t="str">
        <x:v>Offen</x:v>
      </x:c>
      <x:c r="L209" s="5" t="str">
        <x:v>Offen</x:v>
      </x:c>
      <x:c r="M209" s="5" t="str">
        <x:v>CP231: T-09 ergänzt für Web/Desktop append-only, datierte Kombinationsregeln mit nativer und logischer Regel-ID, Mandant, Finanzierungsart, Kostenträgerreferenz, kanonischem Leistungspaar, Ergebnis erlaubt/unzulässig/Zuschlag, konkreter Zuschlagsleistung, Gültigkeitszeitraum, unmittelbarem Vorgänger, Regelbezeichnung/-referenz, Inhaltsfingerprint und mikrosekundengenauer Erfassungszeit. Fallbezogene Prüfungen binden Pflegefall, nativen Finanzierungsweg, Kostenträger, Leistungsarten, Leistungsdatum, konkrete Regel-ID, Version und Fingerprint sowie Prüfbeleg und -zeit. Ohne eindeutige datumsgültige Regel wird keine Zulässigkeit behauptet; gleichzeitig passende Regeln, fremde Scopes, abweichende Bindungen, überlappende Fassungen und Prüfung vor Regelerfassung werden gesperrt. Unzulässige Kombinationen nennen konkrete Regel, Referenz und Gültigkeitsbeginn. Additives SQL bindet die exakte Regelfassung und den nativen Finanzierungsweg, nutzt Trigger/RLS und nur SELECT/INSERT; kein Backfill. Web/Desktop zeigt Regel, Datum und Zuschlag; Android bleibt unverändert. 34 neue Fälle, T-02 bis T-09 198/198 und 9152/9152 vollständiger Node-Lauf. Kein ausgeführter SQL-/RLS-/Trigger-/Parallelitäts-, autorisierter Live-Schreib-, Live-SDK-, Browser-/Layout-, Pflege-, Design- oder Rechtsnachweis; Regelprüfung belegt weder Durchführung noch Genehmigung, Vertrags- oder Abrechnungsfreigabe.</x:v>
      </x:c>
      <x:c r="N209" s="3" t="str">
        <x:f>IF(AND(H209="Umgesetzt",I209="Bestanden",OR(J209="Bestanden",J209="Entfällt geprüft"),OR(K209="Bestanden",K209="Entfällt geprüft"),OR(L209="Bestanden",L209="Entfällt geprüft"),M209&lt;&gt;""),"Abgenommen","Offen")</x:f>
        <x:v>Offen</x:v>
      </x:c>
      <x:c r="O209" s="3" t="str">
        <x:v>Patch in einer isolierten PostgreSQL-/Supabase-Instanz ausführen und native Finanzierungswegbindung, Composite-FK, Versions-/Vorgängerkette, Zeitraumüberlappung, Tabellenrechte, RLS und konkurrierende Inserts mit fremdem Mandanten/Pflegefall prüfen. Autorisierten append-only Regel- und Prüfpfad mit echten Kostenträgerregeln, Leistungsarten, Ausschlüssen, Zuschlägen und Grenztagen anbinden. Web/Desktop breit, schmal, Tastatur und Screenreader prüfen sowie Pflege-, Design- und Rechtsabnahmen einholen.</x:v>
      </x:c>
    </x:row>
    <x:row r="210" ht="44" customHeight="1">
      <x:c r="A210" s="3" t="str">
        <x:v>T-10</x:v>
      </x:c>
      <x:c r="B210" s="3" t="str">
        <x:v>T Finanzierung und Verträge</x:v>
      </x:c>
      <x:c r="C210" s="3" t="str">
        <x:v>Veränderliche Leistungsansprüche</x:v>
      </x:c>
      <x:c r="D210" s="3" t="str">
        <x:v>Bescheid, aktuelle Grundlage, Anspruchsart, Zeitraum, Verbrauch</x:v>
      </x:c>
      <x:c r="E210" s="3" t="str">
        <x:v>Änderungen werden anhand aktueller individueller Unterlagen fachlich geprüft.</x:v>
      </x:c>
      <x:c r="F210" s="3" t="str">
        <x:v>T-P04</x:v>
      </x:c>
      <x:c r="G210" s="3" t="str">
        <x:v>B-07, A-05</x:v>
      </x:c>
      <x:c r="H210" s="5" t="str">
        <x:v>Teilweise umgesetzt</x:v>
      </x:c>
      <x:c r="I210" s="5" t="str">
        <x:v>Teilprüfung</x:v>
      </x:c>
      <x:c r="J210" s="5" t="str">
        <x:v>Offen</x:v>
      </x:c>
      <x:c r="K210" s="5" t="str">
        <x:v>Offen</x:v>
      </x:c>
      <x:c r="L210" s="5" t="str">
        <x:v>Offen</x:v>
      </x:c>
      <x:c r="M210" s="5" t="str">
        <x:v>CP232: T-10 ergänzt für Web/Desktop append-only individuelle Anspruchsfassungen mit nativer und logischer Anspruchs-ID, Mandant, Pflegefall, Finanzierungsweg, lückenloser Version, Anspruchsart, Einheit, vierstellig exakter Menge, Bescheid-ID/-referenz/-datum, Gültigkeitszeitraum, unmittelbarem Vorgänger, Änderungsgrund, Grundlagenfingerprint und Mikrosekundenzeit. Nur die für Pflegefall, Weg, Anspruchsart und Leistungsdatum eindeutig gültige individuelle Fassung gilt; allgemeine Regeln, Finanzierungsweg oder Altanspruch erzeugen keinen aktuellen Anspruch. Verbrauch, Korrektur und Storno binden exakte Fassungs-ID, Version, Fingerprint, Einheit und Leistungsdatum; nur eindeutige Kettenköpfe wirken. Fremde Scopes, überlappende Grundlagen, rückwirkende Entwertung gebundenen Verbrauchs, verschobene Leistungsdaten und konkurrierende Nachfolger werden gesperrt. Additives SQL nutzt Composite-FKs, Trigger, RLS und nur SELECT/INSERT; kein Backfill. Web/Desktop zeigt Bescheid, Fassung, Zeitraum, Anspruch, Verbrauch und Rest; Android bleibt unverändert. 42 neue Fälle, T-02 bis T-10 240/240 und 9194/9194 vollständiger Node-Lauf. Kein ausgeführter SQL-/RLS-/Trigger-/Parallelitäts-, autorisierter Live-Schreib-, Live-SDK-, Browser-/Layout-, Pflege-, Design- oder Rechtsnachweis; Bescheid und Verbrauch belegen weder Durchführung noch Vertrags-, Pflege- oder Abrechnungsfreigabe.</x:v>
      </x:c>
      <x:c r="N210" s="3" t="str">
        <x:f>IF(AND(H210="Umgesetzt",I210="Bestanden",OR(J210="Bestanden",J210="Entfällt geprüft"),OR(K210="Bestanden",K210="Entfällt geprüft"),OR(L210="Bestanden",L210="Entfällt geprüft"),M210&lt;&gt;""),"Abgenommen","Offen")</x:f>
        <x:v>Offen</x:v>
      </x:c>
      <x:c r="O210" s="3" t="str">
        <x:v>Patch in einer isolierten PostgreSQL-/Supabase-Instanz ausführen und native Finanzierungswegbindung, Composite-FKs, Versions-/Vorgänger- und Verbrauchsketten, Zeitraumüberlappung, Rückwirkungsblockade, Tabellenrechte, RLS und konkurrierende Inserts mit fremdem Mandanten/Pflegefall prüfen. Autorisierten append-only Schreibpfad für Bescheidfassung, Verbrauch, Korrektur und Storno anbinden und mit echten individuellen Bescheiden, Anspruchsarten, Grenztagen, Mengenänderungen und Überverbrauch Ende-zu-Ende prüfen. Web/Desktop breit, schmal, Tastatur und Screenreader prüfen sowie Pflege-, Design- und Rechtsabnahmen einholen.</x:v>
      </x:c>
    </x:row>
    <x:row r="211" ht="44" customHeight="1">
      <x:c r="A211" s="3" t="str">
        <x:v>U-01</x:v>
      </x:c>
      <x:c r="B211" s="3" t="str">
        <x:v>U Abrechnung und Forderungen</x:v>
      </x:c>
      <x:c r="C211" s="3" t="str">
        <x:v>Abrechnungsgrundlage bilden</x:v>
      </x:c>
      <x:c r="D211" s="3" t="str">
        <x:v>Freigegebene Nachweise, Empfänger, Zeitraum, Vertragsbezug</x:v>
      </x:c>
      <x:c r="E211" s="3" t="str">
        <x:v>Nur passende Nachweise desselben Empfängers werden gemeinsam ausgewählt.</x:v>
      </x:c>
      <x:c r="F211" s="3" t="str">
        <x:v>U-P01</x:v>
      </x:c>
      <x:c r="G211" s="3" t="str">
        <x:v>S-05, T-04</x:v>
      </x:c>
      <x:c r="H211" s="5" t="str">
        <x:v>Teilweise umgesetzt</x:v>
      </x:c>
      <x:c r="I211" s="5" t="str">
        <x:v>Teilprüfung</x:v>
      </x:c>
      <x:c r="J211" s="5" t="str">
        <x:v>Offen</x:v>
      </x:c>
      <x:c r="K211" s="5" t="str">
        <x:v>Offen</x:v>
      </x:c>
      <x:c r="L211" s="5" t="str">
        <x:v>Offen</x:v>
      </x:c>
      <x:c r="M211" s="5" t="str">
        <x:v>CP233: U-01 ergänzt für Web/Desktop eine strikt datierte Auswahl ausschließlich bereits freigegebener, noch keiner Grundlage zugeordneter Abrechnungsfälle. Jeder Kandidat benötigt einen tatsächlich freigegebenen Originalnachweis mit eigenem Fingerprint, Mikrosekunden-Freigabezeit und genau einer konkreten Vertragsbindung. Mandant, Pflegefall, Zeitraum, Empfängerschlüssel, logische Vertrags-ID, Vertragsereignis, Version und Vertragsfingerprint müssen exakt übereinstimmen; Krankenkasse/Pflegekasse benötigen eine IK, Selbstzahler bindet den Pflegefall. Doppelte Nachweis- oder Fall-IDs, gemischte Empfänger, mehrere Vertragsfassungen, fehlende Bindung und stille Teilmengen werden gesperrt. Ein additives SQL erzeugt nur aus ausdrücklich gewählten Fall-IDs eine Grundlage, speichert vollständigen Auswahlbeleg und sperrt den alten pauschalen Erstellpfad; kein Backfill und nicht ausgeführt. Web/Desktop zeigt getrennte, nur lesende Bereitschaftsgruppen; die Anzeige erstellt, versendet oder genehmigt keine Rechnung und leitet keine Leistung aus Vertrag oder Planung ab. Android-Komponente und bestehende mobile Service-Signatur bleiben unverändert. 24 neue Fälle und 9218/9218 vollständiger Node-Lauf. Kein ausgeführter SQL-/RLS-/Trigger-/Parallelitäts-, autorisierter Live-Schreib-, Live-SDK-, Browser-/Layout-, Pflege-, Design- oder Rechtsnachweis; der Gesamt-Typecheck blieb wegen fehlendem tsc unausgeführt.</x:v>
      </x:c>
      <x:c r="N211" s="3" t="str">
        <x:f>IF(AND(H211="Umgesetzt",I211="Bestanden",OR(J211="Bestanden",J211="Entfällt geprüft"),OR(K211="Bestanden",K211="Entfällt geprüft"),OR(L211="Bestanden",L211="Entfällt geprüft"),M211&lt;&gt;""),"Abgenommen","Offen")</x:f>
        <x:v>Offen</x:v>
      </x:c>
      <x:c r="O211" s="3" t="str">
        <x:v>Patch in einer isolierten PostgreSQL-/Supabase-Instanz ausführen und Fingerprint-Trigger, eindeutige Vertragsbindung, explizite Fallauswahl, Empfängertrennung, Tabellenrechte, RLS, parallele Erstellung und Sperre des alten Sammelpfads prüfen. Autorisierten Web/Desktop-Schreibpfad für die gebundene Auswahl anbinden und mit echten freigegebenen Originalnachweisen, Kostenträgern, Selbstzahlern, Vertragsfassungen, Grenztagen und konkurrierenden Zuordnungen Ende-zu-Ende prüfen. Web/Desktop breit, schmal, Tastatur und Screenreader prüfen sowie Pflege-, Design- und Rechtsabnahmen einholen.</x:v>
      </x:c>
    </x:row>
    <x:row r="212" ht="44" customHeight="1">
      <x:c r="A212" s="3" t="str">
        <x:v>U-02</x:v>
      </x:c>
      <x:c r="B212" s="3" t="str">
        <x:v>U Abrechnung und Forderungen</x:v>
      </x:c>
      <x:c r="C212" s="3" t="str">
        <x:v>Rechnung erstellen</x:v>
      </x:c>
      <x:c r="D212" s="3" t="str">
        <x:v>Nummer, Empfänger, Positionen, Menge, Betrag, Zahlungsziel</x:v>
      </x:c>
      <x:c r="E212" s="3" t="str">
        <x:v>Summe stimmt mit nachvollziehbaren Einzelpositionen überein.</x:v>
      </x:c>
      <x:c r="F212" s="3" t="str">
        <x:v>U-P01</x:v>
      </x:c>
      <x:c r="G212" s="3" t="str">
        <x:v>S-05, T-04</x:v>
      </x:c>
      <x:c r="H212" s="5" t="str">
        <x:v>Teilweise umgesetzt</x:v>
      </x:c>
      <x:c r="I212" s="5" t="str">
        <x:v>Teilprüfung</x:v>
      </x:c>
      <x:c r="J212" s="5" t="str">
        <x:v>Offen</x:v>
      </x:c>
      <x:c r="K212" s="5" t="str">
        <x:v>Offen</x:v>
      </x:c>
      <x:c r="L212" s="5" t="str">
        <x:v>Offen</x:v>
      </x:c>
      <x:c r="M212" s="5" t="str">
        <x:v>CP234: U-02 ergänzt für Web/Desktop einen ausdrücklichen Rechnungsentwurf aus genau einer gebundenen, validierten Grundlage. Mandant, Pflegefall, Grundlage, Empfänger und native Fall-/Nachweisidentitäten bleiben erhalten. Jede Position führt Leistungsdatum, Code, Menge in Tausendsteln, Einzelpreis, exakten Centbetrag und Freigabefingerprint; Domain und additiver SQL-Patch sperren Rundungsreste, Duplikate und abweichende Positions- oder Gesamtsummen. Serverzeit, serverseitige Rechnungsnummer, Zahlungsziel und idempotente Anforderungs-ID werden getrennt gespeichert; Tabellen sind lesend per RLS zugänglich und Entwurf/Positionen unveränderlich. Erstellen bleibt Status draft und löst weder Freigabe, Übertragung noch Versand aus. Bereits verwendete Grundlagen werden nicht erneut angeboten. Web/Desktop zeigt Positionen und verlangt die ausdrückliche Aktion; Android-Komponente bleibt leer. 26 neue Fälle, 9244/9244 Gesamtlauf. SQL/RLS/Trigger/Parallelität und Live-RPC wurden nicht ausgeführt; echte Rechnungsgrundlagen, Pflicht-/Steuerangaben, Nummernkreis, Korrektur, Browser/Layout, Pflege, Design und Recht sowie Gesamt-Typecheck sind offen.</x:v>
      </x:c>
      <x:c r="N212" s="3" t="str">
        <x:f>IF(AND(H212="Umgesetzt",I212="Bestanden",OR(J212="Bestanden",J212="Entfällt geprüft"),OR(K212="Bestanden",K212="Entfällt geprüft"),OR(L212="Bestanden",L212="Entfällt geprüft"),M212&lt;&gt;""),"Abgenommen","Offen")</x:f>
        <x:v>Offen</x:v>
      </x:c>
      <x:c r="O212" s="3" t="str">
        <x:v>Patch in isolierter PostgreSQL-/Supabase-Instanz ausführen und RLS, Tabellenrechte, Historientrigger, Idempotenz, Parallelität, serverseitigen Nummernkreis, Mikrosekundenzeit und exakte Positionssummen prüfen. Mit echten Kostenträger- und Selbstzahlergrundlagen Zahlungsziel, Pflicht- und Steuerangaben, Grenz-/Nullfälle und getrennte Freigabe Ende-zu-Ende testen. Web/Desktop breit, schmal, Tastatur und Screenreader prüfen sowie Pflege-, Design- und Rechtsabnahmen einholen.</x:v>
      </x:c>
    </x:row>
    <x:row r="213" ht="44" customHeight="1">
      <x:c r="A213" s="3" t="str">
        <x:v>U-03</x:v>
      </x:c>
      <x:c r="B213" s="3" t="str">
        <x:v>U Abrechnung und Forderungen</x:v>
      </x:c>
      <x:c r="C213" s="3" t="str">
        <x:v>Rechnung freigeben</x:v>
      </x:c>
      <x:c r="D213" s="3" t="str">
        <x:v>Prüfer, Plausibilität, Pflichtangaben, Freigabeversion</x:v>
      </x:c>
      <x:c r="E213" s="3" t="str">
        <x:v>Unterschriebene oder freigegebene Dokumentfassung bleibt unverändert nachvollziehbar.</x:v>
      </x:c>
      <x:c r="F213" s="3" t="str">
        <x:v>U-P01</x:v>
      </x:c>
      <x:c r="G213" s="3" t="str">
        <x:v>S-05, T-04</x:v>
      </x:c>
      <x:c r="H213" s="5" t="str">
        <x:v>Teilweise umgesetzt</x:v>
      </x:c>
      <x:c r="I213" s="5" t="str">
        <x:v>Teilprüfung</x:v>
      </x:c>
      <x:c r="J213" s="5" t="str">
        <x:v>Offen</x:v>
      </x:c>
      <x:c r="K213" s="5" t="str">
        <x:v>Offen</x:v>
      </x:c>
      <x:c r="L213" s="5" t="str">
        <x:v>Offen</x:v>
      </x:c>
      <x:c r="M213" s="5" t="str">
        <x:v>CP235: U-03 ergänzt für Web/Desktop einen eigenen append-only Freigabebeleg für genau eine unveränderte Entwurfsfassung. Freigabeversion, vollständiger Entwurfs- und Positionssnapshot, Quell- und Dokumentfingerprint, Aussteller-/Empfängerpflichtangaben, Netto-/Steuer-/Gesamtbetrag, explizite Steuerbehandlung und Rechtsgrundlage sowie prüfende Identität und Mikrosekundenzeit werden eingefroren. Entwurf und Freigabe benötigen verschiedene Identitäten und getrennte kritische Rechte; Request-ID und Entwurf werden serialisiert. Positionen müssen lückenlos, eindeutig und exakt nachrechenbar sein. Selbstzahler- und Kostenträgeranschriften werden aus nativen Datensätzen aufgelöst; fehlende Pflichtdaten sperren. Freigabe bleibt getrennt von Versand, Übertragung und Zahlung. Bereits freigegebene Entwürfe werden nicht erneut angeboten; Android-Komponente bleibt leer. 26 neue Fälle, U-02/U-03 52/52 und 9270/9270 Gesamtlauf. SQL/RLS/Trigger/Parallelität und Live-RPC wurden nicht ausgeführt; echte Aussteller-/Empfänger-/Steuerdaten, Dokument/PDF/Signatur, Browser/Layout, Pflege, Design und Recht sowie Gesamt-Typecheck sind offen.</x:v>
      </x:c>
      <x:c r="N213" s="3" t="str">
        <x:f>IF(AND(H213="Umgesetzt",I213="Bestanden",OR(J213="Bestanden",J213="Entfällt geprüft"),OR(K213="Bestanden",K213="Entfällt geprüft"),OR(L213="Bestanden",L213="Entfällt geprüft"),M213&lt;&gt;""),"Abgenommen","Offen")</x:f>
        <x:v>Offen</x:v>
      </x:c>
      <x:c r="O213" s="3" t="str">
        <x:v>Patch in isolierter PostgreSQL-/Supabase-Instanz ausführen und RLS, Tabellenrechte, append-only Trigger, beide Advisory Locks, Request-Idempotenz, konkurrierende Freigaben, zweite Identität, Mikrosekundenfassung, lückenlose Positionen und Fingerprints prüfen. Mit echten Aussteller-, Selbstzahler-, Kostenträger-, Adress-, Steuer- und Pflichtdaten sowie konkreter Dokument-/PDF-Fassung Ende-zu-Ende testen; Signaturbedarf rechtlich klären. Web/Desktop breit, schmal, Tastatur und Screenreader prüfen sowie Pflege-, Design- und Rechtsabnahmen einholen.</x:v>
      </x:c>
    </x:row>
    <x:row r="214" ht="44" customHeight="1">
      <x:c r="A214" s="3" t="str">
        <x:v>U-04</x:v>
      </x:c>
      <x:c r="B214" s="3" t="str">
        <x:v>U Abrechnung und Forderungen</x:v>
      </x:c>
      <x:c r="C214" s="3" t="str">
        <x:v>DTA und Kostenträgerexport</x:v>
      </x:c>
      <x:c r="D214" s="3" t="str">
        <x:v>Aktuelle Spezifikation, IK, Fall, Exportdatei, Prüfprotokoll</x:v>
      </x:c>
      <x:c r="E214" s="3" t="str">
        <x:v>Datei wird gegen tatsächliches Empfangsformat validiert, nicht nur erzeugt.</x:v>
      </x:c>
      <x:c r="F214" s="3" t="str">
        <x:v>U-P02</x:v>
      </x:c>
      <x:c r="G214" s="3" t="str">
        <x:v>S-05, T-04</x:v>
      </x:c>
      <x:c r="H214" s="5" t="str">
        <x:v>Teilweise umgesetzt</x:v>
      </x:c>
      <x:c r="I214" s="5" t="str">
        <x:v>Teilprüfung</x:v>
      </x:c>
      <x:c r="J214" s="5" t="str">
        <x:v>Offen</x:v>
      </x:c>
      <x:c r="K214" s="5" t="str">
        <x:v>Offen</x:v>
      </x:c>
      <x:c r="L214" s="5" t="str">
        <x:v>Offen</x:v>
      </x:c>
      <x:c r="M214" s="5" t="str">
        <x:v>CP236: U-04 ergänzt für Web/Desktop ein ausschließlich am Exporttag gültiges §105-SGB-XI-Empfangsprofil (TA 1 6.4.0, TA 3 6.4.0, Kostenträgerdateiformat 5.2; 01.05.2026–31.01.2027) aus offiziellen GKV-Primärquellen. Freigabeversion, Dokumentfingerprint, Kostenträger-IK, konkrete Kostenträgerdatei und darin aufgelöste Datenannahme-, physische Empfänger- und Verschlüsselungs-IK, Spezifikationsfingerprints, getrennte Auftrags-/Nutzdatendateien und exakter unabhängiger Validatorlauf werden append-only über SHA-256 gebunden. Gültig/ungültig benötigt widerspruchsfreies Fehlerprotokoll; Übertragung und Annahme bleiben nicht abgeleitet. Android unverändert. 19 neue Risikofälle, U-02–U-04 71/71 und 9289/9289 Gesamtlauf. SQL/RLS/Trigger/Live-RPC, echte GKV-Dateien, aktuelle Kostenträgerdatei, realer Validator/Prüfkatalog, Softwareprüfung, Empfängerannahme, §302-SGB-V-Profil, Browser/Pflege/Design/Recht offen.</x:v>
      </x:c>
      <x:c r="N214" s="3" t="str">
        <x:f>IF(AND(H214="Umgesetzt",I214="Bestanden",OR(J214="Bestanden",J214="Entfällt geprüft"),OR(K214="Bestanden",K214="Entfällt geprüft"),OR(L214="Bestanden",L214="Entfällt geprüft"),M214&lt;&gt;""),"Abgenommen","Offen")</x:f>
        <x:v>Offen</x:v>
      </x:c>
      <x:c r="O214" s="3" t="str">
        <x:v>TA-1-/TA-3-/Anhang-5-Originale und aktuelle kassenartenbezogene Kostenträgerdatei bytegenau archivieren und SHA-256 erfassen. Echte §105-Auftrags-/Nutzdatendatei aus einer freigegebenen Rechnung erzeugen und mit einer unabhängigen Softwareprüfung nach Anhang 4/Prüfkatalog 1.0 einschließlich Fehlerdateien validieren; SQL/RLS/Trigger/Idempotenz/Parallelität und Live-RPC isoliert ausführen. Annahme-/Fehlerrücklauf einer Datenannahmestelle getrennt prüfen. Eigenes aktuell gültiges §302-SGB-V-/HKP-Profil umsetzen. Web/Desktop breit, schmal, Tastatur und Screenreader prüfen sowie Pflege-, Design- und Rechtsabnahmen einholen.</x:v>
      </x:c>
    </x:row>
    <x:row r="215" ht="44" customHeight="1">
      <x:c r="A215" s="3" t="str">
        <x:v>U-05</x:v>
      </x:c>
      <x:c r="B215" s="3" t="str">
        <x:v>U Abrechnung und Forderungen</x:v>
      </x:c>
      <x:c r="C215" s="3" t="str">
        <x:v>Rückläufer bearbeiten</x:v>
      </x:c>
      <x:c r="D215" s="3" t="str">
        <x:v>Datei, Fehlercode, betroffene Position, Korrektur, erneute Abgabe</x:v>
      </x:c>
      <x:c r="E215" s="3" t="str">
        <x:v>Erneute Übermittlung verursacht keine doppelte Forderung.</x:v>
      </x:c>
      <x:c r="F215" s="3" t="str">
        <x:v>U-P02</x:v>
      </x:c>
      <x:c r="G215" s="3" t="str">
        <x:v>S-05, T-04</x:v>
      </x:c>
      <x:c r="H215" s="5" t="str">
        <x:v>Teilweise umgesetzt</x:v>
      </x:c>
      <x:c r="I215" s="5" t="str">
        <x:v>Teilprüfung</x:v>
      </x:c>
      <x:c r="J215" s="5" t="str">
        <x:v>Offen</x:v>
      </x:c>
      <x:c r="K215" s="5" t="str">
        <x:v>Offen</x:v>
      </x:c>
      <x:c r="L215" s="5" t="str">
        <x:v>Offen</x:v>
      </x:c>
      <x:c r="M215" s="5" t="str">
        <x:v>CP237: U-05 ergänzt für Web/Desktop eine append-only Kette aus tatsächlichem Übermittlungsversuch, Rückläuferdatei, Empfängerfehlern, betroffenen Originalpositionen, Korrekturfassung und Folgeversuch. Native Mandant-/Pflegefall-/Forderungs-/Versuchs-/Export-/Freigabe-/Entwurfs-/Fall-/Nachweis- und Transportidentitäten, getrennte Dateihashes, neunstellige IK, Rechnungsnummer und sechsstellige UTC-Mikrosekunden bleiben gebunden. Der Folgeversuch muss exakt Versuch n+1 sein, genau den abgewiesenen Vorgänger ersetzen, dieselbe Forderung und Rechnungsnummer bewahren sowie neue freigegebene Export-, Datei- und Transportidentitäten verwenden. Unique-Ketten und Advisory Locks sperren parallele zweite Ersetzungen; Annahme und Zahlung werden nie abgeleitet. Web zeigt Rückläufer, Fehlercodes und offenen/ersetzten Zustand; Android bleibt unverändert. 21 neue Risikofälle, U-02–U-05 92/92 und 9310/9310 Gesamtlauf. SQL/RLS/Trigger/Parallelität und RPCs wurden nicht ausgeführt; ein autorisierter Adapter für den ersten tatsächlichen Versandversuch, echte Rückläufer-/Korrekturdateien, Datenannahmestelle, Browser/Layout sowie Pflege, Design, Recht und Gesamt-Typecheck sind offen.</x:v>
      </x:c>
      <x:c r="N215" s="3" t="str">
        <x:f>IF(AND(H215="Umgesetzt",I215="Bestanden",OR(J215="Bestanden",J215="Entfällt geprüft"),OR(K215="Bestanden",K215="Entfällt geprüft"),OR(L215="Bestanden",L215="Entfällt geprüft"),M215&lt;&gt;""),"Abgenommen","Offen")</x:f>
        <x:v>Offen</x:v>
      </x:c>
      <x:c r="O215" s="3" t="str">
        <x:v>Patch in isolierter PostgreSQL-/Supabase-Instanz ausführen und RLS, Tabellenrechte, append-only Trigger, Request-Idempotenz, beide Rückläufer-/Folgeversuch-RPCs, konkurrierende/mehrfache Rückläufer und genau eine Ersetzung je Versuch prüfen. Autorisierten Transportadapter für den ersten tatsächlichen Versandversuch mit unveränderlichem Transportbeleg anbinden. Echte §105-Rückläuferdateien mit Fehlercodes auf Rechnungs- und Positionsebene importieren, Korrekturfassung neu freigeben/formatprüfen, erneut übertragen und bei der Datenannahmestelle ohne doppelte Forderung Ende-zu-Ende rückverfolgen. Web/Desktop breit, schmal, Tastatur und Screenreader prüfen sowie Pflege-, Design- und Rechtsabnahmen einholen.</x:v>
      </x:c>
    </x:row>
    <x:row r="216" ht="44" customHeight="1">
      <x:c r="A216" s="3" t="str">
        <x:v>U-06</x:v>
      </x:c>
      <x:c r="B216" s="3" t="str">
        <x:v>U Abrechnung und Forderungen</x:v>
      </x:c>
      <x:c r="C216" s="3" t="str">
        <x:v>Storno und Gutschrift</x:v>
      </x:c>
      <x:c r="D216" s="3" t="str">
        <x:v>Originalrechnung, Grund, Bezug, Beträge, Freigabe</x:v>
      </x:c>
      <x:c r="E216" s="3" t="str">
        <x:v>Original, Gegenbuchung und neue Rechnung ergeben korrekten Saldo.</x:v>
      </x:c>
      <x:c r="F216" s="3" t="str">
        <x:v>U-P02</x:v>
      </x:c>
      <x:c r="G216" s="3" t="str">
        <x:v>S-05, T-04</x:v>
      </x:c>
      <x:c r="H216" s="5" t="str">
        <x:v>Teilweise umgesetzt</x:v>
      </x:c>
      <x:c r="I216" s="5" t="str">
        <x:v>Teilprüfung</x:v>
      </x:c>
      <x:c r="J216" s="5" t="str">
        <x:v>Offen</x:v>
      </x:c>
      <x:c r="K216" s="5" t="str">
        <x:v>Offen</x:v>
      </x:c>
      <x:c r="L216" s="5" t="str">
        <x:v>Offen</x:v>
      </x:c>
      <x:c r="M216" s="5" t="str">
        <x:v>CP238: U-06 ergänzt für Web/Desktop einen lokalen append-only Vertrag aus freigegebener Originalrechnung, positionsgenauer negativer Gegenbuchung und optionaler neuer freigegebener Rechnung. Native Freigabe-/Entwurfs-/Fall-/Nachweisidentitäten, Mandant, Pflegefall, Forderungshistorie, Rechnungsnummern, Dokumentfingerprints, getrennte Ersteller-/Prüferidentitäten und sechsstellige UTC-Mikrosekunden bleiben gebunden. Vollstorno muss jede Originalposition centgenau ausgleichen; Teilgutschrift darf nicht vollständig stornieren oder neu berechnen; Storno mit Neurechnung ergibt den Saldo Original minus Gegenbuchung plus Neurechnung. Rückläufer/Folgeversuch, Versand und Zahlung werden nicht abgeleitet. SQL entzieht direkte Schreibrechte, schützt zwei Tabellen vor Update/Delete und sieht mandanten-/rechtegebundenes Lesen sowie einen serialisierten RPC vor. Web zeigt die Kette und den Saldo; Android bleibt unverändert. 22 neue Risikofälle, U-02–U-06 138/138 und 9332/9332 Gesamtlauf. SQL/RLS/Trigger/RPC/Parallelität wurden nicht ausgeführt; echter zweistufiger Ersteller-/Prüferablauf, reale Storno-/Gutschrift-/Neurechnungsbelege, Buchhaltung, Browser/Layout sowie Pflege, Design, Recht und Gesamt-Typecheck sind offen.</x:v>
      </x:c>
      <x:c r="N216" s="3" t="str">
        <x:f>IF(AND(H216="Umgesetzt",I216="Bestanden",OR(J216="Bestanden",J216="Entfällt geprüft"),OR(K216="Bestanden",K216="Entfällt geprüft"),OR(L216="Bestanden",L216="Entfällt geprüft"),M216&lt;&gt;""),"Abgenommen","Offen")</x:f>
        <x:v>Offen</x:v>
      </x:c>
      <x:c r="O216" s="3" t="str">
        <x:v>Patch in isolierter PostgreSQL-/Supabase-Instanz ausführen und RLS, Funktionsrechte, append-only Trigger, Idempotenz, parallele Gegenbuchungen, positionsgenaue Teil-/Vollstorni und Neurechnungsbindung prüfen. Den Ersteller-/Prüferablauf als tatsächlich zweistufigen autorisierten Prozess mit serverseitig belegten Identitäten und Zeiten anbinden; reale Rechnung, Gutschrift/Storno, Neurechnung, Finanzbuchhaltung und Saldo Ende-zu-Ende abstimmen. Rückläufer und Folgeversuch weiterhin strikt getrennt halten. Web/Desktop breit, schmal, Tastatur und Screenreader prüfen sowie Pflege-, Design- und Rechtsabnahmen einholen.</x:v>
      </x:c>
    </x:row>
    <x:row r="217" ht="44" customHeight="1">
      <x:c r="A217" s="3" t="str">
        <x:v>U-07</x:v>
      </x:c>
      <x:c r="B217" s="3" t="str">
        <x:v>U Abrechnung und Forderungen</x:v>
      </x:c>
      <x:c r="C217" s="3" t="str">
        <x:v>Zahlungen und offene Posten</x:v>
      </x:c>
      <x:c r="D217" s="3" t="str">
        <x:v>Zahlung, Zuordnung, Teilzahlung, Rest, Fälligkeit</x:v>
      </x:c>
      <x:c r="E217" s="3" t="str">
        <x:v>Teilzahlung wird nicht als vollständig bezahlt ausgegeben.</x:v>
      </x:c>
      <x:c r="F217" s="3" t="str">
        <x:v>U-P03</x:v>
      </x:c>
      <x:c r="G217" s="3" t="str">
        <x:v>S-05, T-04</x:v>
      </x:c>
      <x:c r="H217" s="5" t="str">
        <x:v>Teilweise umgesetzt</x:v>
      </x:c>
      <x:c r="I217" s="5" t="str">
        <x:v>Teilprüfung</x:v>
      </x:c>
      <x:c r="J217" s="5" t="str">
        <x:v>Offen</x:v>
      </x:c>
      <x:c r="K217" s="5" t="str">
        <x:v>Offen</x:v>
      </x:c>
      <x:c r="L217" s="5" t="str">
        <x:v>Offen</x:v>
      </x:c>
      <x:c r="M217" s="5" t="str">
        <x:v>CP239: U-07 ergänzt für Web/Desktop einen lokalen append-only Forderungsvertrag aus freigegebener Rechnung, eigenständigem offenem Posten, Zahlungseingang oder vollständigem Zahlungsstorno und exakten Zuordnungen. Native Rechnungs-, Freigabe-, Pflegefall-, Forderungs- und Ereignisidentitäten, Mandant, Pflegefall, Rechnungsnummer, Dokumentfingerprint, Fälligkeit, Wertstellung, Buchungsreferenz und sechsstellige UTC-Mikrosekunden bleiben gebunden. Teilzahlung bleibt mit centgenauem Rest teilbezahlt; nur Rest null gilt als bezahlt. Fälligkeit wird getrennt bewertet, Überzahlung und doppelte Zuordnung werden gesperrt. SQL entzieht direkte Schreibrechte, schützt drei Tabellen vor Update/Delete und sieht mandanten-/rechtegebundenes Lesen sowie gehärtete serialisierte Funktionen vor. Web zeigt Forderung, Zuordnung, Rest, Zahlungs- und Fälligkeitsstatus; Android bleibt unverändert. 27 neue Risikofälle, U-01–U-07 165/165 und 9359/9359 Gesamtlauf. SQL/RLS/Trigger/Funktionen/Parallelität wurden nicht ausgeführt; echte Bank-/Bar-/Lastschriftbuchungen, Rückabgleich, Browser/Layout sowie Pflege, Design, Recht und Gesamt-Typecheck sind offen.</x:v>
      </x:c>
      <x:c r="N217" s="3" t="str">
        <x:f>IF(AND(H217="Umgesetzt",I217="Bestanden",OR(J217="Bestanden",J217="Entfällt geprüft"),OR(K217="Bestanden",K217="Entfällt geprüft"),OR(L217="Bestanden",L217="Entfällt geprüft"),M217&lt;&gt;""),"Abgenommen","Offen")</x:f>
        <x:v>Offen</x:v>
      </x:c>
      <x:c r="O217" s="3" t="str">
        <x:v>Patch in isolierter PostgreSQL-/Supabase-Instanz ausführen und RLS, Funktionsrechte, append-only Trigger, Idempotenz, parallele Zahlungseingänge, Teil-/Vollzahlungen, Überzahlung und Storno prüfen. Autorisierten Live-Buchungspfad mit realer Rechnung, Wertstellung, Bank-/Kassen-/Lastschriftreferenz und Finanzbuchhaltungsabgleich Ende-zu-Ende belegen. Fälligkeit, Versand, Rückläufer, Gutschrift und Zahlung strikt getrennt halten. Web/Desktop breit, schmal, Tastatur und Screenreader prüfen sowie Pflege-, Design- und Rechtsabnahmen einholen. Nächster unabhängiger Katalogpunkt: U-08 Buchhaltung und Controlling mit unveränderlicher Zuordnung zu Konto und Periode, ohne Bankabgleich oder Abschluss zu erfinden.</x:v>
      </x:c>
    </x:row>
    <x:row r="218" ht="44" customHeight="1">
      <x:c r="A218" s="3" t="str">
        <x:v>U-08</x:v>
      </x:c>
      <x:c r="B218" s="3" t="str">
        <x:v>U Abrechnung und Forderungen</x:v>
      </x:c>
      <x:c r="C218" s="3" t="str">
        <x:v>Buchhaltung und Controlling</x:v>
      </x:c>
      <x:c r="D218" s="3" t="str">
        <x:v>Kontierung, Zeitraum, Export, Rückabgleich, Bericht</x:v>
      </x:c>
      <x:c r="E218" s="3" t="str">
        <x:v>Kennzahlen stimmen mit tatsächlichen gültigen Rechnungen überein.</x:v>
      </x:c>
      <x:c r="F218" s="3" t="str">
        <x:v>U-P03</x:v>
      </x:c>
      <x:c r="G218" s="3" t="str">
        <x:v>S-05, T-04</x:v>
      </x:c>
      <x:c r="H218" s="5" t="str">
        <x:v>Teilweise umgesetzt</x:v>
      </x:c>
      <x:c r="I218" s="5" t="str">
        <x:v>Teilprüfung</x:v>
      </x:c>
      <x:c r="J218" s="5" t="str">
        <x:v>Offen</x:v>
      </x:c>
      <x:c r="K218" s="5" t="str">
        <x:v>Offen</x:v>
      </x:c>
      <x:c r="L218" s="5" t="str">
        <x:v>Offen</x:v>
      </x:c>
      <x:c r="M218" s="5" t="str">
        <x:v>CP240: U-08 ergänzt für Web/Desktop eine lokale append-only Buchhaltungsprojektion aus ausdrücklich gültigen Rechnungs-, Gutschrift-, Zahlungs- und Zahlungsstornobelegen. Native Beleg-, Quell-, Rechnungsfreigabe-, Forderungs-, Journal- und Anfrageidentitäten, Mandant, Pflegefall, Betrag, Fingerprint, Buchungstag, Periode, Soll-/Habenkonto und sechsstellige UTC-Mikrosekunden bleiben exakt gebunden. Kennzahlen werden nur für den gewählten Zeitraum aus den gültigen Quellbelegen berechnet; fehlende oder abweichende Kontierungen machen den Bericht unvollständig. Export und externe Journalreferenz, passender/abweichender/offener Rückabgleich sowie Periodenabschluss bleiben getrennt; nichts davon wird aus Bankreferenz, offenem Posten oder Betrag erfunden. SQL entzieht direkte Schreibrechte, aktiviert RLS, schützt Quelle und Journal vor Update/Delete und sieht einen gehärteten, serialisierten Buchungs-RPC vor. Web zeigt Zeitraum, Rechnungen, Gutschriften, Zahlungen, Storni, Netto-Forderungsbewegung, Kontierungsgrad, Export und Rückabgleich; Android bleibt unverändert. 30 neue Risikofälle, U-01–U-08 195/195 und 9389/9389 Gesamtlauf. SQL/RLS/Trigger/RPC/Parallelität wurden nicht ausgeführt; die tatsächliche serverseitige Bereitstellung gültiger Quellbelege, echte Finanzbuchhaltungs-/Bankdaten, Exportdateien, Rückabgleich, Browser/Layout sowie Pflege, Design, Recht und Gesamt-Typecheck sind offen.</x:v>
      </x:c>
      <x:c r="N218" s="3" t="str">
        <x:f>IF(AND(H218="Umgesetzt",I218="Bestanden",OR(J218="Bestanden",J218="Entfällt geprüft"),OR(K218="Bestanden",K218="Entfällt geprüft"),OR(L218="Bestanden",L218="Entfällt geprüft"),M218&lt;&gt;""),"Abgenommen","Offen")</x:f>
        <x:v>Offen</x:v>
      </x:c>
      <x:c r="O218" s="3" t="str">
        <x:v>Patch in isolierter PostgreSQL-/Supabase-Instanz ausführen und RLS, Funktionsrechte, append-only Trigger, Idempotenz, Parallelität sowie exakte Quell-/Kontobindung prüfen. Einen autorisierten serverseitigen Erzeugungspfad für gültige Rechnungs-, Gutschrift- und Zahlungsquellbelege ohne Bestandsdatenannahmen anbinden; reale Journalkonten, Periodengrenzen, Exportdateien und Bankrückabgleich Ende-zu-Ende belegen. Periodenabschluss weiterhin nur als eigenes freigegebenes Ereignis führen. Web/Desktop breit, schmal, Tastatur und Screenreader prüfen sowie Pflege-, Design- und Rechtsabnahmen einholen. Nächster unabhängiger Katalogpunkt: U-09 Mahnwesen mit erneuter Zahlungsprüfung vor jeder Mahnung.</x:v>
      </x:c>
    </x:row>
    <x:row r="219" ht="44" customHeight="1">
      <x:c r="A219" s="3" t="str">
        <x:v>U-09</x:v>
      </x:c>
      <x:c r="B219" s="3" t="str">
        <x:v>U Abrechnung und Forderungen</x:v>
      </x:c>
      <x:c r="C219" s="3" t="str">
        <x:v>Mahnwesen</x:v>
      </x:c>
      <x:c r="D219" s="3" t="str">
        <x:v>Offener Posten, Fälligkeit, Stufe, Zahlung, berechtigter Versand</x:v>
      </x:c>
      <x:c r="E219" s="3" t="str">
        <x:v>Zwischenzeitliche Zahlung wird vor erneuter Mahnung berücksichtigt.</x:v>
      </x:c>
      <x:c r="F219" s="3" t="str">
        <x:v>U-P03</x:v>
      </x:c>
      <x:c r="G219" s="3" t="str">
        <x:v>S-05, T-04</x:v>
      </x:c>
      <x:c r="H219" s="5" t="str">
        <x:v>Teilweise umgesetzt</x:v>
      </x:c>
      <x:c r="I219" s="5" t="str">
        <x:v>Teilprüfung</x:v>
      </x:c>
      <x:c r="J219" s="5" t="str">
        <x:v>Offen</x:v>
      </x:c>
      <x:c r="K219" s="5" t="str">
        <x:v>Offen</x:v>
      </x:c>
      <x:c r="L219" s="5" t="str">
        <x:v>Offen</x:v>
      </x:c>
      <x:c r="M219" s="5" t="str">
        <x:v>CP241: U-09 ergänzt für Web/Desktop eine append-only Mahnhistorie mit eigener nativer Mahn- und Versandidentität, exakter Bindung an offenen Posten, Rechnungsfreigabe, Rechnungsnummer, Forderungshistorie und Dokumentfingerprint. Fälligkeit, aufeinanderfolgende Mahnstufe, Vorgänger, bei der Zahlungsauslesung verbleibender Betrag, Zahlungsrevision, letzte Zahlungszeit, Auslese-, Erfassungs- und nächstes Prüfdatum bleiben getrennt. Teilzahlung nach einer Mahnung aktualisiert Betrag und nächste Stufe; vollständige Zahlung sperrt die nächste Mahnung. Der getrennte Versand verlangt Empfänger, Berechtigungsbeleg/-fingerprint, Kanal, Zielfingerprint und Zustellbeleg; der SQL-RPC liest Zahlungen unmittelbar vor Mahnung und Versand erneut. Gebühren, Zinsen, Vollstreckung, Versand, Zahlung und Rechtsfreigabe werden nicht abgeleitet. Direkte Schreibrechte sind entzogen, RLS/append-only Trigger und enge Funktionsrechte vorbereitet. Android bleibt unverändert. 34 neue Risikofälle, U-01–U-09 229/229 und 9423/9423 Gesamtlauf. SQL/RLS/Trigger/RPC/Idempotenz/Parallelität wurden nicht ausgeführt; echte offene Posten, Zahlungen, Empfängerberechtigung, Versand/Zustellung, Browser/Layout sowie Pflege, Design, Recht und Gesamt-Typecheck sind offen.</x:v>
      </x:c>
      <x:c r="N219" s="3" t="str">
        <x:f>IF(AND(H219="Umgesetzt",I219="Bestanden",OR(J219="Bestanden",J219="Entfällt geprüft"),OR(K219="Bestanden",K219="Entfällt geprüft"),OR(L219="Bestanden",L219="Entfällt geprüft"),M219&lt;&gt;""),"Abgenommen","Offen")</x:f>
        <x:v>Offen</x:v>
      </x:c>
      <x:c r="O219" s="3" t="str">
        <x:v>Patch in isolierter PostgreSQL-/Supabase-Instanz ausführen und RLS, Funktionsrechte, append-only Trigger, Idempotenz, Parallelität sowie erneute Zahlungslesung vor Mahnung und Versand prüfen. Echte offene Posten mit Teil- und Vollzahlung zwischen Mahnstufen, repräsentativ berechtigte Empfänger, Versandkanäle und Zustellbelege Ende-zu-Ende belegen. Gebühren, Zinsen, Vollstreckung und rechtliche Freigaben nur über eigene geprüfte Grundlagen ergänzen. Web/Desktop breit, schmal, Tastatur und Screenreader prüfen sowie Pflege-, Design- und Rechtsabnahmen einholen. Nächster unabhängiger Katalogpunkt: U-10 Bank und Einzugsmandat.</x:v>
      </x:c>
    </x:row>
    <x:row r="220" ht="44" customHeight="1">
      <x:c r="A220" s="3" t="str">
        <x:v>U-10</x:v>
      </x:c>
      <x:c r="B220" s="3" t="str">
        <x:v>U Abrechnung und Forderungen</x:v>
      </x:c>
      <x:c r="C220" s="3" t="str">
        <x:v>Bank und Einzugsmandat</x:v>
      </x:c>
      <x:c r="D220" s="3" t="str">
        <x:v>Mandat, Gültigkeit, Betrag, Einzug, Rücklastschrift</x:v>
      </x:c>
      <x:c r="E220" s="3" t="str">
        <x:v>Einzug ohne gültige Grundlage wird vor Dateifreigabe verhindert.</x:v>
      </x:c>
      <x:c r="F220" s="3" t="str">
        <x:v>U-P04</x:v>
      </x:c>
      <x:c r="G220" s="3" t="str">
        <x:v>S-05, T-04</x:v>
      </x:c>
      <x:c r="H220" s="5" t="str">
        <x:v>Teilweise umgesetzt</x:v>
      </x:c>
      <x:c r="I220" s="5" t="str">
        <x:v>Teilprüfung</x:v>
      </x:c>
      <x:c r="J220" s="5" t="str">
        <x:v>Offen</x:v>
      </x:c>
      <x:c r="K220" s="5" t="str">
        <x:v>Offen</x:v>
      </x:c>
      <x:c r="L220" s="5" t="str">
        <x:v>Offen</x:v>
      </x:c>
      <x:c r="M220" s="5" t="str">
        <x:v>CP242: U-10 ergänzt für Web/Desktop versionierte SEPA-Mandatsgrundlagen, exakt an offene Posten und Mandatsversion gebundene Einzugsvorbereitungen, getrennte Dateifreigaben und getrennte Rücklastschriften. Native Mandat-, Auftrag-, Rechnung-, Forderungs-, Freigabe- und Bankreferenzen, Fingerprints, Centbeträge, Gültigkeitsdaten und sechsstellige UTC-Mikrosekunden bleiben erhalten. Fehlendes, künftiges, abgelaufenes oder widerrufenes Mandat sowie Teil-/Vollzahlung oder geänderter Rest sperren die Freigabe. Der SQL-RPC liest aktuelle Mandatsversion, offenen Posten und Zahlungen unmittelbar vor Freigabe erneut; Dateifreigabe und Rücklastschrift leiten keine Zahlung ab. Direkte Schreibrechte sind entzogen, RLS/append-only Trigger und enge Funktionsrechte vorbereitet. Android bleibt unverändert. 33 neue Risikofälle, U-01–U-10 262/262 und 9456/9456 Gesamtlauf. SQL/RLS/Trigger/RPC/Idempotenz/Parallelität wurden nicht ausgeführt; autorisierte Erzeugung von Mandatsversion und Einzugsauftrag, echte Mandate/Konten/Bankdateien/Rücklastschriften, Browser/Layout sowie Pflege, Design, Recht und Gesamt-Typecheck sind offen.</x:v>
      </x:c>
      <x:c r="N220" s="3" t="str">
        <x:f>IF(AND(H220="Umgesetzt",I220="Bestanden",OR(J220="Bestanden",J220="Entfällt geprüft"),OR(K220="Bestanden",K220="Entfällt geprüft"),OR(L220="Bestanden",L220="Entfällt geprüft"),M220&lt;&gt;""),"Abgenommen","Offen")</x:f>
        <x:v>Offen</x:v>
      </x:c>
      <x:c r="O220" s="3" t="str">
        <x:v>Patch in isolierter PostgreSQL-/Supabase-Instanz ausführen und RLS, Funktionsrechte, append-only Trigger, Idempotenz, Parallelität sowie Mandats-, Forderungs- und Zahlungsneulesung prüfen. Autorisierten serverseitigen Erzeugungspfad für Mandatsversion und Einzugsauftrag ergänzen und mit echten, datensparsamen Mandatsbelegen, Bankdateien und Rücklastschriften Ende-zu-Ende belegen. Web/Desktop breit, schmal, Tastatur und Screenreader prüfen sowie Pflege-, Design- und Rechtsabnahmen einholen. Nächster unabhängiger Katalogpunkt: U-11 Eigenanteil und Zuzahlung.</x:v>
      </x:c>
    </x:row>
    <x:row r="221" ht="44" customHeight="1">
      <x:c r="A221" s="3" t="str">
        <x:v>U-11</x:v>
      </x:c>
      <x:c r="B221" s="3" t="str">
        <x:v>U Abrechnung und Forderungen</x:v>
      </x:c>
      <x:c r="C221" s="3" t="str">
        <x:v>Eigenanteil und Zuzahlung</x:v>
      </x:c>
      <x:c r="D221" s="3" t="str">
        <x:v>Leistungsart, Grundlage, Befreiung, Empfänger, Betrag</x:v>
      </x:c>
      <x:c r="E221" s="3" t="str">
        <x:v>Kassenanteil und Eigenanteil summieren sich nachvollziehbar zur Leistung.</x:v>
      </x:c>
      <x:c r="F221" s="3" t="str">
        <x:v>U-P04</x:v>
      </x:c>
      <x:c r="G221" s="3" t="str">
        <x:v>S-05, T-04</x:v>
      </x:c>
      <x:c r="H221" s="5" t="str">
        <x:v>Teilweise umgesetzt</x:v>
      </x:c>
      <x:c r="I221" s="5" t="str">
        <x:v>Teilprüfung</x:v>
      </x:c>
      <x:c r="J221" s="5" t="str">
        <x:v>Offen</x:v>
      </x:c>
      <x:c r="K221" s="5" t="str">
        <x:v>Offen</x:v>
      </x:c>
      <x:c r="L221" s="5" t="str">
        <x:v>Offen</x:v>
      </x:c>
      <x:c r="M221" s="5" t="str">
        <x:v>CP243: U-11 ergänzt für Web/Desktop eine unveränderliche, positionsgenaue Feststellung von Kostenträger- und Eigenanteil auf Basis genau einer freigegebenen Rechnungsfassung und einer versionierten Leistungsgrundlage. Native Freigabe-, Entwurfs-, Abrechnungsfall- und Leistungsnachweis-IDs, Leistungscode/-datum, Dokument- und Grundlagenfingerprints, Empfänger sowie Centbeträge bleiben erhalten. Jede Position und die Rechnungssumme müssen exakt Kostenträgeranteil plus Eigenanteil ergeben. Selbstzahler, berechneter Anteil, dokumentierter Nullanteil und Befreiung bleiben getrennt; Befreiung verlangt einen eigenen am Leistungsdatum gültigen Beleg. Versand, Einzug und Zahlung werden nicht abgeleitet. RLS, entzogene direkte Schreibrechte, append-only Trigger, erneute Freigabe-/Positionslesung, Sperren und enge RPC-Rechte sind lokal vorbereitet; Android bleibt unverändert. 35 neue Risikofälle, U-01–U-11 297/297 und 9491/9491 Gesamtlauf. SQL/RLS/Trigger/RPC/Idempotenz/Parallelität wurden nicht ausgeführt; echte Leistungs-/Befreiungsgrundlagen, Empfänger, Beträge, Live-SDK, Browser/Layout sowie Pflege, Design, Recht und Gesamt-Typecheck sind offen.</x:v>
      </x:c>
      <x:c r="N221" s="3" t="str">
        <x:f>IF(AND(H221="Umgesetzt",I221="Bestanden",OR(J221="Bestanden",J221="Entfällt geprüft"),OR(K221="Bestanden",K221="Entfällt geprüft"),OR(L221="Bestanden",L221="Entfällt geprüft"),M221&lt;&gt;""),"Abgenommen","Offen")</x:f>
        <x:v>Offen</x:v>
      </x:c>
      <x:c r="O221" s="3" t="str">
        <x:v>Patch in isolierter PostgreSQL-/Supabase-Instanz ausführen und RLS, Funktionsrechte, append-only Trigger, Idempotenz, Parallelität sowie erneute Freigabe-/Positionslesung prüfen. Autorisierten Erfassungspfad mit echten, datensparsamen Leistungs-, Empfänger- und Befreiungsbelegen sowie centgenauer Rechnung Ende-zu-Ende nachweisen. Web/Desktop breit, schmal, Tastatur und Screenreader prüfen sowie Pflege-, Design- und Rechtsabnahmen einholen. Nächster unabhängiger Katalogpunkt: U-12 Abrechnungsperioden abschließen.</x:v>
      </x:c>
    </x:row>
    <x:row r="222" ht="44" customHeight="1">
      <x:c r="A222" s="3" t="str">
        <x:v>U-12</x:v>
      </x:c>
      <x:c r="B222" s="3" t="str">
        <x:v>U Abrechnung und Forderungen</x:v>
      </x:c>
      <x:c r="C222" s="3" t="str">
        <x:v>Abrechnungsperioden abschließen</x:v>
      </x:c>
      <x:c r="D222" s="3" t="str">
        <x:v>Zeitraum, offene Fälle, Freigabe, Korrekturverfahren</x:v>
      </x:c>
      <x:c r="E222" s="3" t="str">
        <x:v>Spätere Korrektur erzeugt nachvollziehbare Folge statt stiller Periodenänderung.</x:v>
      </x:c>
      <x:c r="F222" s="3" t="str">
        <x:v>U-P04</x:v>
      </x:c>
      <x:c r="G222" s="3" t="str">
        <x:v>S-05, T-04</x:v>
      </x:c>
      <x:c r="H222" s="5" t="str">
        <x:v>Teilweise umgesetzt</x:v>
      </x:c>
      <x:c r="I222" s="5" t="str">
        <x:v>Teilprüfung</x:v>
      </x:c>
      <x:c r="J222" s="5" t="str">
        <x:v>Offen</x:v>
      </x:c>
      <x:c r="K222" s="5" t="str">
        <x:v>Offen</x:v>
      </x:c>
      <x:c r="L222" s="5" t="str">
        <x:v>Offen</x:v>
      </x:c>
      <x:c r="M222" s="5" t="str">
        <x:v>CP244: U-12 ergänzt für Web/Desktop einen append-only Periodenabschluss mit exakter Periodengrenze, Stichtag, vollständiger geordneter Bindung aller bis zum Stichtag freigegebenen Rechnungsfassungen, Centgesamtsumme, Null-Offene-Fälle-Gate und eigenem authentifizierten Abschlussfreigabebeleg. Rechnung, Entwurf, Pflegefall, Nummer, Freigabefassung/-zeit, Dokumentfingerprint und Betrag bleiben je eingeschlossener Fassung erhalten. Spätere Änderungen überschreiben den Abschluss nicht, sondern referenzieren Ursprungsabschluss und -rechnung als eigener Beleg mit von null verschiedenem Centbetrag in einer späteren Korrekturperiode. Versand und Zahlung werden nicht abgeleitet. RLS, entzogene direkte Schreibrechte, append-only Trigger, erneute Abrechnungsfall-/Freigabelesung, Sperren, Idempotenz und enge RPC-Rechte sind lokal vorbereitet; Android bleibt unverändert. 35 neue Risikofälle, U-01–U-12 332/332 und 9526/9526 Gesamtlauf. SQL/RLS/Trigger/RPC/Idempotenz/Parallelität wurden nicht ausgeführt; echte Periodengrenzen, Freigaben, Rechnungen, offene Fälle und Korrekturbelege, Live-SDK, Browser/Layout sowie Pflege, Design, Recht und Gesamt-Typecheck sind offen.</x:v>
      </x:c>
      <x:c r="N222" s="3" t="str">
        <x:f>IF(AND(H222="Umgesetzt",I222="Bestanden",OR(J222="Bestanden",J222="Entfällt geprüft"),OR(K222="Bestanden",K222="Entfällt geprüft"),OR(L222="Bestanden",L222="Entfällt geprüft"),M222&lt;&gt;""),"Abgenommen","Offen")</x:f>
        <x:v>Offen</x:v>
      </x:c>
      <x:c r="O222" s="3" t="str">
        <x:v>Patch in isolierter PostgreSQL-/Supabase-Instanz ausführen und RLS, Funktionsrechte, append-only Trigger, Idempotenz, Parallelität sowie erneute Abrechnungsfall- und Freigabelesung prüfen. Periodenabschluss und spätere Korrektur mit echten freigegebenen Rechnungen, offenen Fällen, Freigabe- und Korrekturbelegen Ende-zu-Ende nachweisen. Web/Desktop breit, schmal, Tastatur und Screenreader prüfen sowie Pflege-, Design- und Rechtsabnahmen einholen. Nächster unabhängiger Katalogpunkt: V-02 Qualitätsprüfungsnachweise.</x:v>
      </x:c>
    </x:row>
    <x:row r="223" ht="44" customHeight="1">
      <x:c r="A223" s="3" t="str">
        <x:v>V-01</x:v>
      </x:c>
      <x:c r="B223" s="3" t="str">
        <x:v>V Qualität und Prüfungen</x:v>
      </x:c>
      <x:c r="C223" s="3" t="str">
        <x:v>QM-Dokumente versionieren</x:v>
      </x:c>
      <x:c r="D223" s="3" t="str">
        <x:v>Standard, Version, Freigabe, Gültigkeit, Kenntnisnahme</x:v>
      </x:c>
      <x:c r="E223" s="3" t="str">
        <x:v>Veraltete Standards sind von gültigen eindeutig unterscheidbar.</x:v>
      </x:c>
      <x:c r="F223" s="3" t="str">
        <x:v>V-P01</x:v>
      </x:c>
      <x:c r="G223" s="3" t="str">
        <x:v>E-01, D-07</x:v>
      </x:c>
      <x:c r="H223" s="5" t="str">
        <x:v>Teilweise umgesetzt</x:v>
      </x:c>
      <x:c r="I223" s="5" t="str">
        <x:v>Teilprüfung</x:v>
      </x:c>
      <x:c r="J223" s="5" t="str">
        <x:v>Offen</x:v>
      </x:c>
      <x:c r="K223" s="5" t="str">
        <x:v>Offen</x:v>
      </x:c>
      <x:c r="L223" s="5" t="str">
        <x:v>Offen</x:v>
      </x:c>
      <x:c r="M223" s="5" t="str">
        <x:v>CP163: Webanschluss nutzt native Fassungsreferenz und getrennte Lesebelege. Eigene Identität und alte Lesefunktionen geprüft; Auszug ungeprüft. 124 neue Fälle, 7261 Tests.</x:v>
      </x:c>
      <x:c r="N223" s="3" t="str">
        <x:f>IF(AND(H223="Umgesetzt",I223="Bestanden",OR(J223="Bestanden",J223="Entfällt geprüft"),OR(K223="Bestanden",K223="Entfällt geprüft"),OR(L223="Bestanden",L223="Entfällt geprüft"),M223&lt;&gt;""),"Abgenommen","Offen")</x:f>
        <x:v>Offen</x:v>
      </x:c>
      <x:c r="O223" s="3" t="str">
        <x:v>Echte Webauflösung, Browser/Layout und SQL/RLS prüfen. Hygieneplan-/Tätigkeitsbezug, Freigabe/Gültigkeit und historische Kenntnisnahme fachlich/rechtlich nachweisen. Abnahmen offen.</x:v>
      </x:c>
    </x:row>
    <x:row r="224" ht="44" customHeight="1">
      <x:c r="A224" s="3" t="str">
        <x:v>V-02</x:v>
      </x:c>
      <x:c r="B224" s="3" t="str">
        <x:v>V Qualität und Prüfungen</x:v>
      </x:c>
      <x:c r="C224" s="3" t="str">
        <x:v>Qualitätsprüfungsnachweise</x:v>
      </x:c>
      <x:c r="D224" s="3" t="str">
        <x:v>Geltende QPR-Fassung, Prüfbereich, Nachweis, Lücke</x:v>
      </x:c>
      <x:c r="E224" s="3" t="str">
        <x:v>Prüfzuordnung nennt konkrete Anforderungen und belegte Aktenstellen.</x:v>
      </x:c>
      <x:c r="F224" s="3" t="str">
        <x:v>V-P01</x:v>
      </x:c>
      <x:c r="G224" s="3" t="str">
        <x:v>E-01, D-07</x:v>
      </x:c>
      <x:c r="H224" s="5" t="str">
        <x:v>Teilweise umgesetzt</x:v>
      </x:c>
      <x:c r="I224" s="5" t="str">
        <x:v>Teilprüfung</x:v>
      </x:c>
      <x:c r="J224" s="5" t="str">
        <x:v>Offen</x:v>
      </x:c>
      <x:c r="K224" s="5" t="str">
        <x:v>Offen</x:v>
      </x:c>
      <x:c r="L224" s="5" t="str">
        <x:v>Offen</x:v>
      </x:c>
      <x:c r="M224" s="5" t="str">
        <x:v>CP245: Web/Desktop bindet die QPR Teil 1a in der Fassung vom 30.07.2026 an die offizielle MD-Bund-Primärquelle und ordnet konkrete Anforderungsnummern getrennt nach Personen-, Einrichtungs- und Abrechnungsebene unveränderlichen Aktenstellen oder ausdrücklich offenen Lücken zu. Native Mandant-, MD-Prüfungs-, Pflegefall-, Quellobjekt-, Fassungs-, Erfassungs- und Anforderungsidentitäten, SHA-256-Originalfingerprints und sechsstellige UTC-Mikrosekundenzeiten bleiben erhalten. Weder Prüfergebnis noch Pflege-/Aufgabenabschluss werden abgeleitet. Vier append-only Historien, RLS, entzogene direkte Schreibrechte, enger RPC, erneute MD-Prüfungs-/Pflegefallbindung, Idempotenz und Sperren sind lokal vorbereitet; Android bleibt unverändert. 31 neue Risikofälle und 9557/9557 Gesamtlauf. SQL/RLS/Trigger/RPC wurden nicht ausgeführt; echtes QPR-Original mit geprüftem Hash, echte Prüfungen/Aktenstellen/Lücken, Live-SDK, Browser/Layout sowie Pflege, Design, Recht und Gesamt-Typecheck sind offen.</x:v>
      </x:c>
      <x:c r="N224" s="3" t="str">
        <x:f>IF(AND(H224="Umgesetzt",I224="Bestanden",OR(J224="Bestanden",J224="Entfällt geprüft"),OR(K224="Bestanden",K224="Entfällt geprüft"),OR(L224="Bestanden",L224="Entfällt geprüft"),M224&lt;&gt;""),"Abgenommen","Offen")</x:f>
        <x:v>Offen</x:v>
      </x:c>
      <x:c r="O224" s="3" t="str">
        <x:v>Offizielles QPR-PDF als Originalbytefolge mit SHA-256 sichern und Anforderungszuordnung gegen echte autorisierte MD-Prüfung, Pflegeakten, QM-Fassungen, Abrechnungsbelege und offene Lücken Ende-zu-Ende nachweisen. Patch in isolierter PostgreSQL-/Supabase-Instanz ausführen und RLS, Funktionsrechte, append-only Trigger, Pflegefallbindung, Idempotenz und Parallelität prüfen. Web/Desktop breit, schmal, Tastatur und Screenreader prüfen sowie Pflege-, Design- und Rechtsabnahmen einholen. Nächster unabhängiger Katalogpunkt: V-03 Beschwerden bearbeiten.</x:v>
      </x:c>
    </x:row>
    <x:row r="225" ht="44" customHeight="1">
      <x:c r="A225" s="3" t="str">
        <x:v>V-03</x:v>
      </x:c>
      <x:c r="B225" s="3" t="str">
        <x:v>V Qualität und Prüfungen</x:v>
      </x:c>
      <x:c r="C225" s="3" t="str">
        <x:v>Beschwerden bearbeiten</x:v>
      </x:c>
      <x:c r="D225" s="3" t="str">
        <x:v>Anliegen, Empfänger, Frist, Untersuchung, Antwort, Abschluss</x:v>
      </x:c>
      <x:c r="E225" s="3" t="str">
        <x:v>Beschwerde wird nicht ohne dokumentiertes Ergebnis geschlossen.</x:v>
      </x:c>
      <x:c r="F225" s="3" t="str">
        <x:v>V-P01</x:v>
      </x:c>
      <x:c r="G225" s="3" t="str">
        <x:v>E-01, D-07</x:v>
      </x:c>
      <x:c r="H225" s="5" t="str">
        <x:v>Teilweise umgesetzt</x:v>
      </x:c>
      <x:c r="I225" s="5" t="str">
        <x:v>Teilprüfung</x:v>
      </x:c>
      <x:c r="J225" s="5" t="str">
        <x:v>Offen</x:v>
      </x:c>
      <x:c r="K225" s="5" t="str">
        <x:v>Offen</x:v>
      </x:c>
      <x:c r="L225" s="5" t="str">
        <x:v>Offen</x:v>
      </x:c>
      <x:c r="M225" s="5" t="str">
        <x:v>CP246: Web/Desktop ergänzt eine append-only Beschwerdeakte mit Anliegen, Eingang, Personen-/Einrichtungsumfang, optionalem nativen Portalursprung, explizitem Empfänger, Rolle und Frist. Untersuchung, Antwort, Abschluss und Wiederaufnahme bleiben eigene chronologische Ereignisse mit authentifizierter Identität, nativen Beleg-/Quell-/Fassungsidentitäten, Aktenstellen, SHA-256 und sechsstelligen UTC-Mikrosekundenzeiten. Ein Abschluss wird ohne Untersuchung, belegte Antwort, eigenen Ergebnisbeleg, Referenzen auf den aktuellen Zyklus und Schließrecht verweigert; Zufriedenheit sowie Pflege-/Aufgabenabschluss werden nicht abgeleitet. Drei RLS-geschützte Historien, entzogene Direktwrites, append-only Trigger, enger RPC, Pflegefall-/Portalbindung, Idempotenz und Sperre sind lokal vorbereitet; Android bleibt unverändert. 40 neue Risikofälle. SQL/RLS/Trigger/RPC wurden nicht ausgeführt; echte Beschwerden, Empfänger, Fristen, Untersuchungen, Antworten, Ergebnisbelege, Live-SDK, Browser/Layout sowie Pflege, Design, Recht und Gesamt-Typecheck sind offen.</x:v>
      </x:c>
      <x:c r="N225" s="3" t="str">
        <x:f>IF(AND(H225="Umgesetzt",I225="Bestanden",OR(J225="Bestanden",J225="Entfällt geprüft"),OR(K225="Bestanden",K225="Entfällt geprüft"),OR(L225="Bestanden",L225="Entfällt geprüft"),M225&lt;&gt;""),"Abgenommen","Offen")</x:f>
        <x:v>Offen</x:v>
      </x:c>
      <x:c r="O225" s="3" t="str">
        <x:v>Patch in isolierter PostgreSQL-/Supabase-Instanz ausführen und RLS, Funktionsrechte, append-only Trigger, Portal-/Pflegefallbindung, Schließrecht, Idempotenz und Parallelität prüfen. Echte personenbezogene und einrichtungsbezogene Beschwerden einschließlich anonymem Eingang, Empfänger, Fristüberschreitung, Untersuchung, Antwort, Ergebnis, Wiederaufnahme und autorisierten Identitäten Ende-zu-Ende nachweisen. Web/Desktop breit, schmal, Tastatur und Screenreader prüfen sowie Pflege-, Design- und Rechtsabnahmen einholen. Nächster unabhängiger Katalogpunkt: V-04 Fehler und Beinahefehler.</x:v>
      </x:c>
    </x:row>
    <x:row r="226" ht="44" customHeight="1">
      <x:c r="A226" s="3" t="str">
        <x:v>V-04</x:v>
      </x:c>
      <x:c r="B226" s="3" t="str">
        <x:v>V Qualität und Prüfungen</x:v>
      </x:c>
      <x:c r="C226" s="3" t="str">
        <x:v>Fehler und Beinahefehler</x:v>
      </x:c>
      <x:c r="D226" s="3" t="str">
        <x:v>Ereignis, Auswirkung, Ursache, Maßnahme, Überprüfung</x:v>
      </x:c>
      <x:c r="E226" s="3" t="str">
        <x:v>Anonymisierte Auswertung verhindert unzulässige Offenlegung Einzelner.</x:v>
      </x:c>
      <x:c r="F226" s="3" t="str">
        <x:v>V-P02</x:v>
      </x:c>
      <x:c r="G226" s="3" t="str">
        <x:v>E-01, D-07</x:v>
      </x:c>
      <x:c r="H226" s="5" t="str">
        <x:v>Teilweise umgesetzt</x:v>
      </x:c>
      <x:c r="I226" s="5" t="str">
        <x:v>Teilprüfung</x:v>
      </x:c>
      <x:c r="J226" s="5" t="str">
        <x:v>Offen</x:v>
      </x:c>
      <x:c r="K226" s="5" t="str">
        <x:v>Offen</x:v>
      </x:c>
      <x:c r="L226" s="5" t="str">
        <x:v>Offen</x:v>
      </x:c>
      <x:c r="M226" s="5" t="str">
        <x:v>CP247: Web/Desktop ergänzt eine append-only Fehler-/Beinahefehlerakte mit getrennten Ereignis-, Beobachtungs- und Erfassungszeiten, dokumentierter Auswirkung sowie eigenen Ursachen-, Maßnahmen-, Wirksamkeitsprüfungs-, Abschluss- und Wiederaufnahmeereignissen. Beinahefehler dürfen keine eingetretene Auswirkung behaupten; Abschluss verlangt Ursache, verantwortete befristete Maßnahme, belegte Wirksamkeitsprüfung, aktuelle Referenzen und Schließrecht. Native Mandant-, Pflegefall-, Notfall-, Ereignis-, Anforderungs-, Quell- und Fassungsidentitäten, Aktenstellen, SHA-256 und sechsstellige UTC-Mikrosekundenzeiten bleiben erhalten. Benannte und anonyme Meldung bleiben getrennt. Die separate Aggregation gibt ausschließlich Quartal, Klassifikation, Kategorie und Anzahl aus und lässt Kohorten unter fünf vollständig weg; keine Detail-, Personen-, Pflegefall-, Freitext-, Original- oder exakten Zeitangaben. Drei RLS-geschützte Historien, entzogene Direktwrites, append-only Trigger, enge RPCs, Mandant-/Pflegefall-/Notfallbindung, Idempotenz und Sperren sind lokal vorbereitet; Android bleibt unverändert. 42 neue Risikofälle und 9639/9639 Gesamtlauf. SQL/RLS/Trigger/RPC wurden nicht ausgeführt; echte Ereignisse, Ursachen, Maßnahmen, Prüfungen, Anonymisierungs-/Reidentifikationsprüfung, Live-SDK, Browser/Layout sowie Pflege, Design, Recht und Gesamt-Typecheck sind offen.</x:v>
      </x:c>
      <x:c r="N226" s="3" t="str">
        <x:f>IF(AND(H226="Umgesetzt",I226="Bestanden",OR(J226="Bestanden",J226="Entfällt geprüft"),OR(K226="Bestanden",K226="Entfällt geprüft"),OR(L226="Bestanden",L226="Entfällt geprüft"),M226&lt;&gt;""),"Abgenommen","Offen")</x:f>
        <x:v>Offen</x:v>
      </x:c>
      <x:c r="O226" s="3" t="str">
        <x:v>Patch in isolierter PostgreSQL-/Supabase-Instanz ausführen und RLS, Grants, Funktionsrechte, append-only Trigger, Pflegefall-/Notfallbindung, Idempotenz, Parallelität und Kohortenunterdrückung prüfen. Echte Fehler und Beinahefehler mit Auswirkung, Ursache, verantworteter Maßnahme, Frist, Wirksamkeitsprüfung, Wiederaufnahme und autorisierten Identitäten Ende-zu-Ende nachweisen; Anonymisierung und Reidentifikationsrisiko fachlich/datenschutzrechtlich bewerten. Web/Desktop breit, schmal, Tastatur und Screenreader prüfen sowie Pflege-, Design- und Rechtsabnahmen einholen. Nächster unabhängiger Katalogpunkt: V-05 Sturz und sonstige Ereignisanalyse.</x:v>
      </x:c>
    </x:row>
    <x:row r="227" ht="44" customHeight="1">
      <x:c r="A227" s="3" t="str">
        <x:v>V-05</x:v>
      </x:c>
      <x:c r="B227" s="3" t="str">
        <x:v>V Qualität und Prüfungen</x:v>
      </x:c>
      <x:c r="C227" s="3" t="str">
        <x:v>Sturz und sonstige Ereignisanalyse</x:v>
      </x:c>
      <x:c r="D227" s="3" t="str">
        <x:v>Ereignis, Ursachen, Maßnahmen, Wiederholungsprüfung</x:v>
      </x:c>
      <x:c r="E227" s="3" t="str">
        <x:v>Analyse löst überprüfbare Anpassung der Versorgung aus.</x:v>
      </x:c>
      <x:c r="F227" s="3" t="str">
        <x:v>V-P02</x:v>
      </x:c>
      <x:c r="G227" s="3" t="str">
        <x:v>E-01, D-07</x:v>
      </x:c>
      <x:c r="H227" s="5" t="str">
        <x:v>Teilweise umgesetzt</x:v>
      </x:c>
      <x:c r="I227" s="5" t="str">
        <x:v>Teilprüfung</x:v>
      </x:c>
      <x:c r="J227" s="5" t="str">
        <x:v>Offen</x:v>
      </x:c>
      <x:c r="K227" s="5" t="str">
        <x:v>Offen</x:v>
      </x:c>
      <x:c r="L227" s="5" t="str">
        <x:v>Offen</x:v>
      </x:c>
      <x:c r="M227" s="5" t="str">
        <x:v>CP248: Web/Desktop ergänzt eine append-only Sturz-/Ereignisanalyse, die Mandant, Pflegefall, V-04-Ausgangsereignis und nicht supersedierten originalen Pflegeverlauf bindet. Ereignis-, Beobachtungs- und Erfassungszeit bleiben mikrosekundengenau getrennt. Ursachenanalyse, verantwortete Versorgungsanpassung an eine konkrete Pflegeplanfassung, geplanter Prüftermin, tatsächlicher Beobachtungszeitraum, Wiederholungsprüfung, Analyseabschluss und Wiederaufnahme sind getrennte Ereignisse. Eine Anpassung verlangt Ursache, Verantwortung, Pflegeplan-/Fassungs-ID und Originalbeleg; eine Wiederholungsprüfung verlangt Anpassungsreferenz, tatsächlichen Zeitraum, Ergebnis, explizite Wiederholungsangabe, Pflegeverlaufsbeleg und SHA-256. Pflegeabschluss, Auflösung des Ausgangsereignisses und klinische Ursachensicherheit werden nicht abgeleitet. Drei RLS-geschützte Historien, entzogene Direktwrites, append-only Trigger, enger RPC, serverseitige Revalidierung von Pflegefall, Fehlerakte und Pflegeverlauf, Idempotenz und Sperren sind lokal vorbereitet; Android bleibt unverändert. 45 neue Risikofälle und 9684/9684 Gesamtlauf. SQL/RLS/Trigger/RPC wurden nicht ausgeführt; echte Ereignisse, Pflegeplanfassungen, Anpassungen, Beobachtungszeiträume und Wiederholungsprüfungen, Live-SDK, Browser/Layout sowie Pflege, Design, Recht und Gesamt-Typecheck sind offen.</x:v>
      </x:c>
      <x:c r="N227" s="3" t="str">
        <x:f>IF(AND(H227="Umgesetzt",I227="Bestanden",OR(J227="Bestanden",J227="Entfällt geprüft"),OR(K227="Bestanden",K227="Entfällt geprüft"),OR(L227="Bestanden",L227="Entfällt geprüft"),M227&lt;&gt;""),"Abgenommen","Offen")</x:f>
        <x:v>Offen</x:v>
      </x:c>
      <x:c r="O227" s="3" t="str">
        <x:v>Patch in isolierter PostgreSQL-/Supabase-Instanz ausführen und RLS, Grants, Funktionsrechte, append-only Trigger, Pflegefall-/Fehlerakten-/Pflegeverlaufsbindung, Idempotenz und Parallelität prüfen. Einen echten Sturz und ein sonstiges Ereignis mit Ursachensicherheit, konkreter verantworteter Pflegeplananpassung, geplantem Prüftermin, tatsächlichem Beobachtungszeitraum und belegter Wiederholungsprüfung Ende-zu-Ende nachweisen. Web/Desktop breit, schmal, Tastatur und Screenreader prüfen sowie Pflege-, Design- und Rechtsabnahmen einholen. Nächster unabhängiger Katalogpunkt: V-07 Qualitätsmaßnahmen nachhalten.</x:v>
      </x:c>
    </x:row>
    <x:row r="228" ht="44" customHeight="1">
      <x:c r="A228" s="3" t="str">
        <x:v>V-06</x:v>
      </x:c>
      <x:c r="B228" s="3" t="str">
        <x:v>V Qualität und Prüfungen</x:v>
      </x:c>
      <x:c r="C228" s="3" t="str">
        <x:v>Pflegevisiten organisieren</x:v>
      </x:c>
      <x:c r="D228" s="3" t="str">
        <x:v>Auswahl, Termin, Prüfer, Ergebnis, Maßnahmen</x:v>
      </x:c>
      <x:c r="E228" s="3" t="str">
        <x:v>Geplante und tatsächlich erfolgte Visite bleiben getrennt.</x:v>
      </x:c>
      <x:c r="F228" s="3" t="str">
        <x:v>V-P02</x:v>
      </x:c>
      <x:c r="G228" s="3" t="str">
        <x:v>E-01, D-07</x:v>
      </x:c>
      <x:c r="H228" s="5" t="str">
        <x:v>Teilweise umgesetzt</x:v>
      </x:c>
      <x:c r="I228" s="5" t="str">
        <x:v>Teilprüfung</x:v>
      </x:c>
      <x:c r="J228" s="5" t="str">
        <x:v>Offen</x:v>
      </x:c>
      <x:c r="K228" s="5" t="str">
        <x:v>Offen</x:v>
      </x:c>
      <x:c r="L228" s="5" t="str">
        <x:v>Offen</x:v>
      </x:c>
      <x:c r="M228" s="5" t="str">
        <x:v>CP170/171 bewahren ganze native Visiten-/Audit-/Planoriginale. CP174 bindet Originalhistorie an bewusst gewählte aktuelle eigene native Listenauswahl, separate vier Leserechte und dauerhafte Sperre alter Generationen. Aktueller Plan und historische Snapshots/Zeiten getrennt. 55 neue Fälle, 8050 Tests, native88/12. Browser/Layout/SQL/RLS/Fachabnahmen offen.</x:v>
      </x:c>
      <x:c r="N228" s="3" t="str">
        <x:f>IF(AND(H228="Umgesetzt",I228="Bestanden",OR(J228="Bestanden",J228="Entfällt geprüft"),OR(K228="Bestanden",K228="Entfällt geprüft"),OR(L228="Bestanden",L228="Entfällt geprüft"),M228&lt;&gt;""),"Abgenommen","Offen")</x:f>
        <x:v>Offen</x:v>
      </x:c>
      <x:c r="O228" s="3" t="str">
        <x:v>Tatsächlichen Browser/React-/Modulbundler-/breiten/schmalen Layout-/Keyboard-/Screenreader-Nachweis, serverseitige Rechte und aktive Pflegefallzuordnung erbringen. Vollständige fachliche Visitenorganisation und ausdrücklich angelegte Folgeaufträge anhand nativer Kennungen separat; kein Abschluss aus gespeichertem Status, Datum oder Feststellung.</x:v>
      </x:c>
    </x:row>
    <x:row r="229" ht="44" customHeight="1">
      <x:c r="A229" s="3" t="str">
        <x:v>V-07</x:v>
      </x:c>
      <x:c r="B229" s="3" t="str">
        <x:v>V Qualität und Prüfungen</x:v>
      </x:c>
      <x:c r="C229" s="3" t="str">
        <x:v>Qualitätsmaßnahmen nachhalten</x:v>
      </x:c>
      <x:c r="D229" s="3" t="str">
        <x:v>Abweichung, Maßnahme, Verantwortung, Frist, Wirksamkeit</x:v>
      </x:c>
      <x:c r="E229" s="3" t="str">
        <x:v>Erledigung ohne erforderlichen Wirksamkeitsnachweis bleibt offen.</x:v>
      </x:c>
      <x:c r="F229" s="3" t="str">
        <x:v>V-P03</x:v>
      </x:c>
      <x:c r="G229" s="3" t="str">
        <x:v>E-01, D-07</x:v>
      </x:c>
      <x:c r="H229" s="5" t="str">
        <x:v>Teilweise umgesetzt</x:v>
      </x:c>
      <x:c r="I229" s="5" t="str">
        <x:v>Teilprüfung</x:v>
      </x:c>
      <x:c r="J229" s="5" t="str">
        <x:v>Offen</x:v>
      </x:c>
      <x:c r="K229" s="5" t="str">
        <x:v>Offen</x:v>
      </x:c>
      <x:c r="L229" s="5" t="str">
        <x:v>Offen</x:v>
      </x:c>
      <x:c r="M229" s="5" t="str">
        <x:v>CP249: Web/Desktop ergänzt eine append-only Nachhaltung, die eine vorhandene Qualitätsabweichung mitsamt Mandant, nativer ID, Kategorie, Beschreibung, Erfassungszeit und SHA-256 des vollständigen Quelloriginals serverseitig erneut bindet. Zuweisung der konkreten Maßnahme, native Verantwortungsidentität, Frist, Fortschritt, tatsächlicher Beobachtungszeitraum, Wirksamkeitsprüfung, formale Erledigung und begründete Wiederaufnahme bleiben getrennte Ereignisse mit sechs UTC-Mikrosekundenstellen und vollständigen Originalbelegen. Erledigung verlangt die aktuelle Zuweisung, eine tatsächlich als wirksam dokumentierte Wirksamkeitsprüfung, deren Ergebnisfingerprint und einen eigenen Abschlussbeleg; teilweise wirksam, nicht wirksam, unzureichend belegt oder ganz ohne Prüfung bleibt offen. Auflösung der Ausgangsabweichung, klinische Durchführung und Pflegeabschluss werden nicht abgeleitet. Drei RLS-geschützte Historien, entzogene Direktwrites, append-only Trigger, enger RPC, Rechteprüfung, Quellrevalidierung, Idempotenz und Sperren sind lokal vorbereitet; Android bleibt unverändert. 48 neue Risikofälle und 9732/9732 Gesamtlauf. SQL/RLS/Trigger/RPC wurden nicht ausgeführt; echte Abweichungen, Maßnahmennachweise, Verantwortlichkeiten, Fristen, Wirksamkeitsbeobachtungen, Live-SDK, Browser/Layout sowie Pflege, Design, Recht und Gesamt-Typecheck sind offen.</x:v>
      </x:c>
      <x:c r="N229" s="3" t="str">
        <x:f>IF(AND(H229="Umgesetzt",I229="Bestanden",OR(J229="Bestanden",J229="Entfällt geprüft"),OR(K229="Bestanden",K229="Entfällt geprüft"),OR(L229="Bestanden",L229="Entfällt geprüft"),M229&lt;&gt;""),"Abgenommen","Offen")</x:f>
        <x:v>Offen</x:v>
      </x:c>
      <x:c r="O229" s="3" t="str">
        <x:v>Patch in isolierter PostgreSQL-/Supabase-Instanz ausführen und RLS, Grants, Funktionsrechte, append-only Trigger, Abweichungsbindung, Quellfingerprint, Idempotenz und Parallelität prüfen. Eine echte Qualitätsabweichung mit konkreter Maßnahme, verantwortlicher Person, Frist, Fortschritt, tatsächlichem Beobachtungszeitraum und Wirksamkeitsnachweis Ende-zu-Ende nachweisen; teilweise oder nicht wirksame Fälle müssen offen bleiben. Web/Desktop breit, schmal, Tastatur und Screenreader prüfen sowie Pflege-, Design- und Rechtsabnahmen einholen. Nächster unabhängiger Katalogpunkt: V-08 Fachliche Abnahme durchführen.</x:v>
      </x:c>
    </x:row>
    <x:row r="230" ht="44" customHeight="1">
      <x:c r="A230" s="3" t="str">
        <x:v>V-08</x:v>
      </x:c>
      <x:c r="B230" s="3" t="str">
        <x:v>V Qualität und Prüfungen</x:v>
      </x:c>
      <x:c r="C230" s="3" t="str">
        <x:v>Fachliche Abnahme durchführen</x:v>
      </x:c>
      <x:c r="D230" s="3" t="str">
        <x:v>Pflegefachliche Prüfer, reale Szenarien, Ergebnis, Einschränkungen</x:v>
      </x:c>
      <x:c r="E230" s="3" t="str">
        <x:v>Softwaretests allein ergeben keine pflegefachliche Freigabe.</x:v>
      </x:c>
      <x:c r="F230" s="3" t="str">
        <x:v>V-P03</x:v>
      </x:c>
      <x:c r="G230" s="3" t="str">
        <x:v>E-01, D-07</x:v>
      </x:c>
      <x:c r="H230" s="5" t="str">
        <x:v>Teilweise umgesetzt</x:v>
      </x:c>
      <x:c r="I230" s="5" t="str">
        <x:v>Teilprüfung</x:v>
      </x:c>
      <x:c r="J230" s="5" t="str">
        <x:v>Offen</x:v>
      </x:c>
      <x:c r="K230" s="5" t="str">
        <x:v>Offen</x:v>
      </x:c>
      <x:c r="L230" s="5" t="str">
        <x:v>Offen</x:v>
      </x:c>
      <x:c r="M230" s="5" t="str">
        <x:v>CP250: Web/Desktop ergänzt eine append-only pflegefachliche Abnahmeakte für eine exakt bezeichnete und per SHA-256 gebundene Prüffassung. Prüfauftrag, jedes benannte reale Szenario, qualifizierte Prüferidentität, tatsächliches Ergebnis, Einschränkung mit Verantwortung/Prüffrist, eigenständige Entscheidung und Wiederaufnahme bleiben getrennte Ereignisse mit nativen IDs, sechs UTC-Mikrosekundenstellen und Originalbelegen. Positive Abnahme verlangt alle erforderlichen Szenarien tatsächlich bestanden und in der Entscheidung referenziert sowie Qualifikations-, Szenario- und Entscheidungsoriginale; Softwaretests sind nur ergänzend. Uneingeschränkte Abnahme ist bei dokumentierter Einschränkung gesperrt, Abnahme mit Einschränkungen verlangt mindestens eine konkrete Einschränkung. Release-, Rechts-, Designfreigabe und klinische Durchführung werden nicht abgeleitet. Drei RLS-geschützte Historien, entzogene Direktwrites, append-only Trigger, enger RPC, Rechte-/Mandanten-/Identitätsprüfung, Idempotenz und Sperren sind lokal vorbereitet; Android bleibt unverändert. 56 neue Risikofälle und 9788/9788 Gesamtlauf. SQL/RLS/Trigger/RPC wurden nicht ausgeführt; echte Pflegefachpersonen, Qualifikationen, reale Szenarien, Einschränkungen, Entscheidungen, Live-SDK, Browser/Layout sowie Pflege-, Design-, Rechts- und Gesamt-Typecheck-Nachweise sind offen.</x:v>
      </x:c>
      <x:c r="N230" s="3" t="str">
        <x:f>IF(AND(H230="Umgesetzt",I230="Bestanden",OR(J230="Bestanden",J230="Entfällt geprüft"),OR(K230="Bestanden",K230="Entfällt geprüft"),OR(L230="Bestanden",L230="Entfällt geprüft"),M230&lt;&gt;""),"Abgenommen","Offen")</x:f>
        <x:v>Offen</x:v>
      </x:c>
      <x:c r="O230" s="3" t="str">
        <x:v>Patch in isolierter PostgreSQL-/Supabase-Instanz ausführen und RLS, Grants, Funktionsrechte, append-only Trigger, Fassung-/Szenarienbindung, tatsächliche Prüferidentität, Idempotenz und Parallelität prüfen. Eine qualifizierte Pflegefachperson muss den exakt gebundenen Stand anhand aller vorab benannten realen Szenarien tatsächlich prüfen, Originalprotokolle und Einschränkungen dokumentieren und eine eigenständige Entscheidung abgeben; Softwaretests dürfen dafür nicht verwendet werden. Web/Desktop breit, schmal, Tastatur und Screenreader prüfen sowie getrennte Pflege-, Design- und Rechtsabnahmen einholen. Nächster unabhängiger Katalogpunkt: W-01 Übergabe erstellen.</x:v>
      </x:c>
    </x:row>
    <x:row r="231" ht="44" customHeight="1">
      <x:c r="A231" s="3" t="str">
        <x:v>W-01</x:v>
      </x:c>
      <x:c r="B231" s="3" t="str">
        <x:v>W Kommunikation und Portale</x:v>
      </x:c>
      <x:c r="C231" s="3" t="str">
        <x:v>Übergabe erstellen</x:v>
      </x:c>
      <x:c r="D231" s="3" t="str">
        <x:v>Relevante Änderung, offener Auftrag, Zuständigkeit, Priorität</x:v>
      </x:c>
      <x:c r="E231" s="3" t="str">
        <x:v>Empfänger erkennt neue Inhalte und offene Folgen.</x:v>
      </x:c>
      <x:c r="F231" s="3" t="str">
        <x:v>W-P01</x:v>
      </x:c>
      <x:c r="G231" s="3" t="str">
        <x:v>A-03, B-04</x:v>
      </x:c>
      <x:c r="H231" s="5" t="str">
        <x:v>Teilweise umgesetzt</x:v>
      </x:c>
      <x:c r="I231" s="5" t="str">
        <x:v>Teilweise geprüft</x:v>
      </x:c>
      <x:c r="J231" s="5" t="str">
        <x:v>Offen</x:v>
      </x:c>
      <x:c r="K231" s="5" t="str">
        <x:v>Offen</x:v>
      </x:c>
      <x:c r="L231" s="5" t="str">
        <x:v>Offen</x:v>
      </x:c>
      <x:c r="M231" s="5" t="str">
        <x:v>CP251: W-01 erhält einen eigenen Web/Desktop-Erstellungspfad. Relevante Änderung mit nativer Quell- und Quellfassungs-ID, tatsächlichem Ereigniszeitpunkt, Originalaktenstelle und SHA-256 bleibt getrennt von Erstellungszeit und Aufgabenfrist. Mindestens ein offener Originalauftrag, konkrete Folge, native Zuständigkeit, Frist und Priorität sowie mindestens eine benannte native Empfangsperson mit Rollen-/Zuständigkeitssnapshot sind Pflicht. Die Übergabefassung erhält einen Inhaltsfingerprint. Nur die zugewiesene Profilidentität darf exakt diese Fassung quittieren; sie muss alle Änderungen und offenen Folgen ausdrücklich umfassen. Empfang leitet weder Aufgabenabschluss noch klinische Durchführung, Rechts- oder Releasefreigabe ab. Fünf RLS-geschützte append-only Tabellen, entzogene Direktwrites und eng freigegebene, mandanten-/rechte-/personen-/idempotenzgeprüfte RPCs sind lokal additiv vorbereitet; SQL nicht ausgeführt. Die Liste liest den neuen Bestand und öffnet IDs nicht mehr fälschlich als Dokumentationseinträge. Android verwendet weiterhin den bisherigen Ablauf. 28 neue Risikofälle, 9816/9816 kumulativ. Kein Gesamt-Typecheck (tsc fehlt), kein echter SDK-/SQL-/RLS-/Browser-/Layoutnachweis und keine Pflege-, Design- oder Rechtsabnahme.</x:v>
      </x:c>
      <x:c r="N231" s="3" t="str">
        <x:f>IF(AND(H231="Umgesetzt",I231="Bestanden",OR(J231="Bestanden",J231="Entfällt geprüft"),OR(K231="Bestanden",K231="Entfällt geprüft"),OR(L231="Bestanden",L231="Entfällt geprüft"),M231&lt;&gt;""),"Abgenommen","Offen")</x:f>
        <x:v>Offen</x:v>
      </x:c>
      <x:c r="O231" s="3" t="str">
        <x:v>Patch in isolierter PostgreSQL-/Supabase-Instanz ausführen und Grants, RLS, append-only Trigger, Mandant/Pflegefall, Idempotenz, Parallelität sowie Empfänger-/Fassungsbindung prüfen. Benannte reale Empfänger müssen neue Inhalte und jede offene Folge anhand echter Datensätze erkennen und quittieren; Auftragserledigung separat nachweisen. Web/Desktop breit, schmal, Tastatur und Screenreader prüfen sowie Pflege-, Design- und Rechtsabnahme einholen. Nächster unabhängiger Katalogpunkt: W-02 Aufgabe und Eskalation vertiefen.</x:v>
      </x:c>
    </x:row>
    <x:row r="232" ht="155" customHeight="1">
      <x:c r="A232" s="3" t="str">
        <x:v>W-02</x:v>
      </x:c>
      <x:c r="B232" s="3" t="str">
        <x:v>W Kommunikation und Portale</x:v>
      </x:c>
      <x:c r="C232" s="3" t="str">
        <x:v>Aufgabe und Eskalation</x:v>
      </x:c>
      <x:c r="D232" s="3" t="str">
        <x:v>Anlass, Verantwortliche, Frist, Rückmeldung, Vertretung</x:v>
      </x:c>
      <x:c r="E232" s="3" t="str">
        <x:v>Fristablauf führt zur vereinbarten überprüfbaren Eskalation.</x:v>
      </x:c>
      <x:c r="F232" s="3" t="str">
        <x:v>W-P01</x:v>
      </x:c>
      <x:c r="G232" s="3" t="str">
        <x:v>A-03, B-04</x:v>
      </x:c>
      <x:c r="H232" s="5" t="str">
        <x:v>Teilweise umgesetzt</x:v>
      </x:c>
      <x:c r="I232" s="5" t="str">
        <x:v>Teilprüfung</x:v>
      </x:c>
      <x:c r="J232" s="5" t="str">
        <x:v>Offen</x:v>
      </x:c>
      <x:c r="K232" s="5" t="str">
        <x:v>Offen</x:v>
      </x:c>
      <x:c r="L232" s="5" t="str">
        <x:v>Offen</x:v>
      </x:c>
      <x:c r="M232" s="5" t="str">
        <x:v>CP252: Die Übergabeliste verbindet jede offene Folge ausschließlich über ihre native Originalauftrags-ID mit dem vollständig geladenen autorisierten Kontrollverlauf. Mandant und Pflegefall müssen übereinstimmen; doppelte Auftragsbezüge, abgeschnittene Verläufe und fremde Akten werden verweigert. Empfangsstatus, Erinnerungszustellung, aktueller Auftrag, Fristablauf, tatsächliche Eskalation/Rückmeldung, spätere Zuständigkeits-/Fristfortschreibung und tatsächlicher Abschluss bleiben getrennt. Nur ein dokumentiertes performed-Ergebnis im Originalverlauf zählt als erledigt; Teilversuch, Empfang, Erinnerung und Eskalationsrückmeldung nicht. Nicht zugängliche Aufträge bleiben unbekannt. 9 neue Risikofälle; mit Übergabe-, Kontroll- und Erinnerungssuiten 246/246. Android unverändert. Echter SDK-/SQL-/RLS-/Browser-/Layoutnachweis sowie Pflege-, Design- und Rechtsabnahme offen.</x:v>
      </x:c>
      <x:c r="N232" s="3" t="str">
        <x:f>IF(AND(H232="Umgesetzt",I232="Bestanden",OR(J232="Bestanden",J232="Entfällt geprüft"),OR(K232="Bestanden",K232="Entfällt geprüft"),OR(L232="Bestanden",L232="Entfällt geprüft"),M232&lt;&gt;""),"Abgenommen","Offen")</x:f>
        <x:v>Offen</x:v>
      </x:c>
      <x:c r="O232" s="3" t="str">
        <x:v>Verknüpfung gegen echte RLS-beschränkte Übergaben und vollständige Kontrollverläufe im Live-SDK prüfen; Fristablauf, Neuverteilung, tatsächliche Eskalation, Rückmeldung, Teilversuch und Abschluss mit realen Rollen nachweisen. Bestehenden Queueadapter, ungewissen Versand, Parallelität/Restart/Rollback im freigegebenen Testbestand prüfen. Web/Desktop breit, schmal, Tastatur und Screenreader sowie Pflege-, Design- und Rechtsabnahme offen. Nächster unabhängiger Punkt: W-03 Mitarbeiterportal.</x:v>
      </x:c>
    </x:row>
    <x:row r="233" ht="44" customHeight="1">
      <x:c r="A233" s="3" t="str">
        <x:v>W-03</x:v>
      </x:c>
      <x:c r="B233" s="3" t="str">
        <x:v>W Kommunikation und Portale</x:v>
      </x:c>
      <x:c r="C233" s="3" t="str">
        <x:v>Mitarbeiterportal</x:v>
      </x:c>
      <x:c r="D233" s="3" t="str">
        <x:v>Zugewiesene Einsätze, notwendige Akteninformationen, Befugnisse</x:v>
      </x:c>
      <x:c r="E233" s="3" t="str">
        <x:v>Zugriff bleibt auf erlaubte Mandanten und Klienten begrenzt.</x:v>
      </x:c>
      <x:c r="F233" s="3" t="str">
        <x:v>W-P01</x:v>
      </x:c>
      <x:c r="G233" s="3" t="str">
        <x:v>A-03, B-04</x:v>
      </x:c>
      <x:c r="H233" s="5" t="str">
        <x:v>Teilweise umgesetzt</x:v>
      </x:c>
      <x:c r="I233" s="5" t="str">
        <x:v>Teilprüfung</x:v>
      </x:c>
      <x:c r="J233" s="5" t="str">
        <x:v>Offen</x:v>
      </x:c>
      <x:c r="K233" s="5" t="str">
        <x:v>Offen</x:v>
      </x:c>
      <x:c r="L233" s="5" t="str">
        <x:v>Offen</x:v>
      </x:c>
      <x:c r="M233" s="5" t="str">
        <x:v>CP253: Der bestehende Klientenaktenpfad des Mitarbeiterportals war trotz übergebener Mitarbeitenden-ID tenantweit; die neuere R23-RLS hatte Klienten, Adressen, Kontakte und sichtbare Einsätze ebenfalls tenantweit geöffnet. Der Web/Desktop-Service lädt jetzt ausschließlich eigene sichtbare Nicht-Entwurfs-Einsatzzuweisungen, validiert Mandant, Mitarbeitenden-, Einsatz- und Pflegefall-ID sowie Zeitpunkt und verwirft fremde, verborgene, doppelte oder unvollständige Snapshots vollständig. Nur daraus abgeleitete aktive Pflegefälle werden geladen; unerwartete Klientenzeilen und fremde/ungültige Fallback-Termine schließen den Read. Der Detailpfad bleibt in dieser Liste und gibt nur Primär- oder Notfallkontakte weiter. Ein additiver, nicht ausgeführter SQL-Patch entfernt die weiten Policies und bindet Klienten, Adressen, Kontakte, Einsätze, freigegebene nicht sensible Dokumente und Intake-Vorschauen an dieselbe eigene sichtbare Zuweisung. 12 neue Risikofälle, 170/170 betroffene Suiten und 9837/9837 gesamt bestanden. Android unverändert. Gesamt-Typecheck nicht ausführbar (tsc fehlt). Echte SDK-/SQL-/RLS-/Browser-/Layoutprüfung sowie Pflege-, Design- und Rechtsabnahme offen.</x:v>
      </x:c>
      <x:c r="N233" s="3" t="str">
        <x:f>IF(AND(H233="Umgesetzt",I233="Bestanden",OR(J233="Bestanden",J233="Entfällt geprüft"),OR(K233="Bestanden",K233="Entfällt geprüft"),OR(L233="Bestanden",L233="Entfällt geprüft"),M233&lt;&gt;""),"Abgenommen","Offen")</x:f>
        <x:v>Offen</x:v>
      </x:c>
      <x:c r="O233" s="3" t="str">
        <x:v>Vorbereiteten Patch in isolierter PostgreSQL-/Supabase-Instanz mit echter Mitarbeiterportal-Sitzung ausführen und direkte Tabellen-, Dokument- und Detailrouten, Widerruf/Neuzuweisung, gelöschte oder beendete Pflegefälle sowie Rollen- und Mandantenwechsel prüfen. Bestehenden tenantweiten Teamkalender und weitere direkte Portalpfade gesondert auf notwendige Befugnis und Klientenbegrenzung prüfen. Web/Desktop breit, schmal, Tastatur und Screenreader sowie Pflege-, Design- und Rechtsabnahme offen. Nächster unabhängiger Katalogpunkt: W-04 Klientenportal.</x:v>
      </x:c>
    </x:row>
    <x:row r="234" ht="44" customHeight="1">
      <x:c r="A234" s="3" t="str">
        <x:v>W-04</x:v>
      </x:c>
      <x:c r="B234" s="3" t="str">
        <x:v>W Kommunikation und Portale</x:v>
      </x:c>
      <x:c r="C234" s="3" t="str">
        <x:v>Klientenportal</x:v>
      </x:c>
      <x:c r="D234" s="3" t="str">
        <x:v>Eigene Versorgung, freigegebene Dokumente, Rückmeldung</x:v>
      </x:c>
      <x:c r="E234" s="3" t="str">
        <x:v>Fremde Klientenakten können weder erraten noch abgerufen werden.</x:v>
      </x:c>
      <x:c r="F234" s="3" t="str">
        <x:v>W-P02</x:v>
      </x:c>
      <x:c r="G234" s="3" t="str">
        <x:v>A-03, B-04</x:v>
      </x:c>
      <x:c r="H234" s="5" t="str">
        <x:v>Teilweise umgesetzt</x:v>
      </x:c>
      <x:c r="I234" s="5" t="str">
        <x:v>Teilprüfung</x:v>
      </x:c>
      <x:c r="J234" s="5" t="str">
        <x:v>Offen</x:v>
      </x:c>
      <x:c r="K234" s="5" t="str">
        <x:v>Offen</x:v>
      </x:c>
      <x:c r="L234" s="5" t="str">
        <x:v>Offen</x:v>
      </x:c>
      <x:c r="M234" s="5" t="str">
        <x:v>CP254: Der Live-Hook vertraute einer lokal gespeicherten clientId bereits als verknüpft und übersprang dadurch die erneute kanonische Auflösung am authentifizierten Portal-Konto. RLS begrenzte die Reads serverseitig, eine manipulierte oder veraltete lokale Pflegefall-ID konnte aber weiterhin für direkte Anfragen verwendet werden. Der neue unveränderliche Klientenportal-Scope verwendet im Livebetrieb ausschließlich die über aktives Portal-Konto bzw. auth.uid() serverseitig geladene native Pflegefall-ID; der lokale Wert ist nur Vergleichsdaten und wird bei Abweichung repariert. Mandant, Konto, Pflegefall und Rolle werden als kleingeschriebene UUIDs geprüft, fremde oder unvollständige Linkzeilen schließen den Scope. Bis zur erfolgreichen Auflösung bleibt clientId null. Bestehende direkte Profil-, Kontakt-, Versorgungs-, Dokument- und Einsatzpfade wurden auf exakte Pflegefallfilter sowie die aktuelle R14-C-RLS-Autorität geprüft. 10 neue Risikofälle und 9847/9847 vorhandene Node-Fälle bestanden. Android unverändert. Gesamt-Typecheck nicht ausführbar (tsc fehlt). Echte Live-SDK-/SQL-/RLS-/Browserprüfung sowie Pflege-, Design- und Rechtsabnahme offen.</x:v>
      </x:c>
      <x:c r="N234" s="3" t="str">
        <x:f>IF(AND(H234="Umgesetzt",I234="Bestanden",OR(J234="Bestanden",J234="Entfällt geprüft"),OR(K234="Bestanden",K234="Entfällt geprüft"),OR(L234="Bestanden",L234="Entfällt geprüft"),M234&lt;&gt;""),"Abgenommen","Offen")</x:f>
        <x:v>Offen</x:v>
      </x:c>
      <x:c r="O234" s="3" t="str">
        <x:v>Mit zwei echten Klienten-/Angehörigenportalidentitäten in einer isolierten PostgreSQL-/Supabase-Instanz erratene Profil-, Kontakt-, Einsatz-, Dokument-, Nachweis-, Nachrichten- und Download-IDs sowie manipulierte lokale Sitzung, Kontowechsel, Widerruf, Sperre, Ablauf und Neuzuordnung prüfen. RLS, Storage-Signed-URLs und Session-Refresh tatsächlich ausführen. Web/Desktop breit, schmal, Tastatur und Screenreader sowie Pflege-, Design-, Datenschutz- und Rechtsabnahme offen. Nächster unabhängiger Katalogpunkt: W-05 Angehörigenportal.</x:v>
      </x:c>
    </x:row>
    <x:row r="235" ht="44" customHeight="1">
      <x:c r="A235" s="3" t="str">
        <x:v>W-05</x:v>
      </x:c>
      <x:c r="B235" s="3" t="str">
        <x:v>W Kommunikation und Portale</x:v>
      </x:c>
      <x:c r="C235" s="3" t="str">
        <x:v>Angehörigenportal</x:v>
      </x:c>
      <x:c r="D235" s="3" t="str">
        <x:v>Vertretungsnachweis, Umfang, Laufzeit, freigegebene Inhalte</x:v>
      </x:c>
      <x:c r="E235" s="3" t="str">
        <x:v>Widerruf beendet Zugang zu betroffenen Inhalten.</x:v>
      </x:c>
      <x:c r="F235" s="3" t="str">
        <x:v>W-P02</x:v>
      </x:c>
      <x:c r="G235" s="3" t="str">
        <x:v>A-03, B-04</x:v>
      </x:c>
      <x:c r="H235" s="5" t="str">
        <x:v>Teilweise umgesetzt</x:v>
      </x:c>
      <x:c r="I235" s="5" t="str">
        <x:v>Teilprüfung</x:v>
      </x:c>
      <x:c r="J235" s="5" t="str">
        <x:v>Offen</x:v>
      </x:c>
      <x:c r="K235" s="5" t="str">
        <x:v>Offen</x:v>
      </x:c>
      <x:c r="L235" s="5" t="str">
        <x:v>Offen</x:v>
      </x:c>
      <x:c r="M235" s="5" t="str">
        <x:v>CP255: Der Live-Hook löst den Angehörigenzugang über einen serverautoritativen Scope des exakten aktiven Portal-Kontos auf. Mandant, Konto, Pflegefall, Vertretungskontakt, Beginn, Ablauf und neun Einzelrechte werden streng validiert; Zeitwerte behalten exakt sechs UTC-Mikrosekundenstellen, fehlende oder nicht boolesche Rechte schließen. Widerruf, Sperre, Ablauf, fehlender Freigabesatz oder fremde Identität liefern keinen Scope. Angehörigen-Termine fallen offline oder nach Livefehler nie auf Altcache zurück. Termin-, Dokument-, Download- und Nachrichtenhooks beachten getrennte Rechte. Ein lokaler, nicht ausgeführter SQL-Patch kapselt Scope und Rechte in gehärteten RPCs, verschließt die mandantenweiten Freigaberohdaten für Portalrollen und ergänzt serverseitige Dokument-, Termin- und Nachrichten-RLS. 18 neue Risikofälle und 9865/9865 vorhandene Node-Fälle bestanden. Android unverändert. Gesamt-Typecheck nicht ausführbar (tsc fehlt). Echte SQL-/RLS-/Storage-/Live-SDK-/Browserprüfung sowie Pflege-, Design- und Rechtsabnahme offen.</x:v>
      </x:c>
      <x:c r="N235" s="3" t="str">
        <x:f>IF(AND(H235="Umgesetzt",I235="Bestanden",OR(J235="Bestanden",J235="Entfällt geprüft"),OR(K235="Bestanden",K235="Entfällt geprüft"),OR(L235="Bestanden",L235="Entfällt geprüft"),M235&lt;&gt;""),"Abgenommen","Offen")</x:f>
        <x:v>Offen</x:v>
      </x:c>
      <x:c r="O235" s="3" t="str">
        <x:v>SQL-Patch in isolierter PostgreSQL-/Supabase-Instanz mit zwei Pflegefällen, zwei Angehörigenkonten und mehreren Freigabesätzen ausführen. Widerruf, Sperre, Ablauf, Neuzuordnung, Parallelität und Zeitgrenzen prüfen; direkte IDs, Anhänge, Nachweise, Signaturen, Live-Tracking, Storage/Downloads sowie alle neun Rechte vollständig absichern. Vertretungsnachweis und reale autorisierte Fälle prüfen. Web/Desktop breit, schmal, Tastatur und Screenreader sowie Pflege-, Design-, Datenschutz- und Rechtsabnahme offen. Nächster unabhängiger Katalogpunkt: W-06 Sichere Nachrichten.</x:v>
      </x:c>
    </x:row>
    <x:row r="236" ht="44" customHeight="1">
      <x:c r="A236" s="3" t="str">
        <x:v>W-06</x:v>
      </x:c>
      <x:c r="B236" s="3" t="str">
        <x:v>W Kommunikation und Portale</x:v>
      </x:c>
      <x:c r="C236" s="3" t="str">
        <x:v>Sichere Nachrichten</x:v>
      </x:c>
      <x:c r="D236" s="3" t="str">
        <x:v>Absender, Empfänger, Zweck, Inhalt, Zustellstatus</x:v>
      </x:c>
      <x:c r="E236" s="3" t="str">
        <x:v>Fehlgeschlagene Zustellung erscheint nicht als gelesen.</x:v>
      </x:c>
      <x:c r="F236" s="3" t="str">
        <x:v>W-P02</x:v>
      </x:c>
      <x:c r="G236" s="3" t="str">
        <x:v>A-03, B-04</x:v>
      </x:c>
      <x:c r="H236" s="5" t="str">
        <x:v>Teilweise umgesetzt</x:v>
      </x:c>
      <x:c r="I236" s="5" t="str">
        <x:v>Teilprüfung</x:v>
      </x:c>
      <x:c r="J236" s="5" t="str">
        <x:v>Offen</x:v>
      </x:c>
      <x:c r="K236" s="5" t="str">
        <x:v>Offen</x:v>
      </x:c>
      <x:c r="L236" s="5" t="str">
        <x:v>Offen</x:v>
      </x:c>
      <x:c r="M236" s="5" t="str">
        <x:v>CP256: Die Web/Desktop-Projektion wertet Zustellstatus und gesendete, zugestellte und gelesene Zeit gemeinsam fail-closed aus. Ein fehlgeschlagener Datensatz verliert widersprüchliche Zustell-/Lesebelege; nur eine vollständig geordnete Mikrosekundenkette kann gelesen sein, während spätere Bearbeitungs-, Lösch- und Archivzustände eine gültige Originalkette bewahren. Das Speichern einer neuen Nachricht belegt nur Annahme und setzt deliveredAt nicht mehr vor einem Transportnachweis. Ein lokaler, nicht ausgeführter SQL-Patch ergänzt NOT-VALID-Constraints und gehärtete Trigger gegen failed+delivered/read, rückläufige Zeitketten, Wiederbelebung fehlgeschlagener Zustellung und fremde Lesebestätigungen. 14 neue Risikofälle und 9879/9879 vorhandene Node-Fälle bestanden. Android unverändert. Gesamt-Typecheck nicht ausführbar (tsc fehlt). Echte SQL-/RLS-/Transport-/Live-SDK-/Browserprüfung sowie Pflege-, Design- und Rechtsabnahme offen.</x:v>
      </x:c>
      <x:c r="N236" s="3" t="str">
        <x:f>IF(AND(H236="Umgesetzt",I236="Bestanden",OR(J236="Bestanden",J236="Entfällt geprüft"),OR(K236="Bestanden",K236="Entfällt geprüft"),OR(L236="Bestanden",L236="Entfällt geprüft"),M236&lt;&gt;""),"Abgenommen","Offen")</x:f>
        <x:v>Offen</x:v>
      </x:c>
      <x:c r="O236" s="3" t="str">
        <x:v>SQL-Patch in isolierter PostgreSQL-/Supabase-Instanz auf bestehende Altzeilen prüfen, Altbestand bereinigen und Constraints validieren. Transportadapter mit providerseitiger Zustell-/Fehlerquittung, Wiederholung als neue Nachrichtenidentität und Idempotenz umsetzen. Absender, Empfänger, Zweck, Inhalt, Teilnehmeridentitäten und den getrennten älteren Office-Nachrichtenpfad vollständig binden. Live-SDK, reale breite/schmale Browserdarstellung, Tastatur und Screenreader sowie Pflege-, Design-, Datenschutz- und Rechtsabnahme offen. Nächster unabhängiger Katalogpunkt: W-07 Benachrichtigungen.</x:v>
      </x:c>
    </x:row>
    <x:row r="237" ht="44" customHeight="1">
      <x:c r="A237" s="3" t="str">
        <x:v>W-07</x:v>
      </x:c>
      <x:c r="B237" s="3" t="str">
        <x:v>W Kommunikation und Portale</x:v>
      </x:c>
      <x:c r="C237" s="3" t="str">
        <x:v>Benachrichtigungen</x:v>
      </x:c>
      <x:c r="D237" s="3" t="str">
        <x:v>Auslöser, Empfängerrechte, Kanal, Inhalt, Rückmeldung</x:v>
      </x:c>
      <x:c r="E237" s="3" t="str">
        <x:v>Sperrbildschirm und fremde Geräte erhalten keine unnötigen Pflegeinhalte.</x:v>
      </x:c>
      <x:c r="F237" s="3" t="str">
        <x:v>W-P03</x:v>
      </x:c>
      <x:c r="G237" s="3" t="str">
        <x:v>A-03, B-04</x:v>
      </x:c>
      <x:c r="H237" s="5" t="str">
        <x:v>Teilweise umgesetzt</x:v>
      </x:c>
      <x:c r="I237" s="5" t="str">
        <x:v>Teilprüfung</x:v>
      </x:c>
      <x:c r="J237" s="5" t="str">
        <x:v>Offen</x:v>
      </x:c>
      <x:c r="K237" s="5" t="str">
        <x:v>Offen</x:v>
      </x:c>
      <x:c r="L237" s="5" t="str">
        <x:v>Offen</x:v>
      </x:c>
      <x:c r="M237" s="5" t="str">
        <x:v>CP257: Der serverseitige Portal-Push-Umschlag verwendet nun für Besuch, Nachricht, Leistungsnachweis, Unterschrift, Dokument, Mitteilung, Update und unbekannte Ereignisarten denselben inhaltsneutralen sichtbaren Titel und Text. Ereignisart, Person, Pflegefall, Dokument und Route erscheinen nicht im sichtbaren Umschlag. Der vorhandene Zustell-RPC prüft unmittelbar vor Providerübergabe Gerät, Portalkonto, Auth-Nutzer, Mandant, Ablauf und ereignisspezifisches Empfängerrecht erneut; entzogenes oder abgelaufenes Ziel wird abgebrochen. Fünf neue Risikofälle und 9884/9884 vorhandene Node-Fälle bestanden. Android-Dateien und -Schnittstellen blieben unverändert. Gesamt-Typecheck nicht ausführbar (tsc fehlt). Echte Provider-/Fremdgerät-/Sperrbildschirm-, SQL-/RLS-/Live-SDK- und Browserprüfung sowie Pflege-, Design-, Datenschutz- und Rechtsabnahme offen.</x:v>
      </x:c>
      <x:c r="N237" s="3" t="str">
        <x:f>IF(AND(H237="Umgesetzt",I237="Bestanden",OR(J237="Bestanden",J237="Entfällt geprüft"),OR(K237="Bestanden",K237="Entfällt geprüft"),OR(L237="Bestanden",L237="Entfällt geprüft"),M237&lt;&gt;""),"Abgenommen","Offen")</x:f>
        <x:v>Offen</x:v>
      </x:c>
      <x:c r="O237" s="3" t="str">
        <x:v>Den unveränderten nativen Navigationsdatenpfad später mit echten getrennten Konten und Geräten gegen Abmeldung, Kontowechsel, Sperre, Widerruf, Ablauf, Token-Neuzuordnung und verzögerte Zustellung prüfen. SQL-Funktionen, RLS/Funktionsrechte, Parallelität, Provider-Tickets und Receipts in einer isolierten PostgreSQL-/Supabase- und Push-Testumgebung ausführen. Breite/schmale Browser- und echte Gerätesperrbildschirmdarstellung, Bedienung sowie Pflege-, Design-, Datenschutz- und Rechtsabnahme offen. Nächster unabhängiger Katalogpunkt: W-08 Rückmeldung nachhalten.</x:v>
      </x:c>
    </x:row>
    <x:row r="238" ht="44" customHeight="1">
      <x:c r="A238" s="3" t="str">
        <x:v>W-08</x:v>
      </x:c>
      <x:c r="B238" s="3" t="str">
        <x:v>W Kommunikation und Portale</x:v>
      </x:c>
      <x:c r="C238" s="3" t="str">
        <x:v>Rückmeldung nachhalten</x:v>
      </x:c>
      <x:c r="D238" s="3" t="str">
        <x:v>Anfrage, Kontaktversuche, Antwort, offene Folgeschritte</x:v>
      </x:c>
      <x:c r="E238" s="3" t="str">
        <x:v>Gelesene Nachricht ersetzt keine bestätigte Aufgabenbearbeitung.</x:v>
      </x:c>
      <x:c r="F238" s="3" t="str">
        <x:v>W-P03</x:v>
      </x:c>
      <x:c r="G238" s="3" t="str">
        <x:v>A-03, B-04</x:v>
      </x:c>
      <x:c r="H238" s="5" t="str">
        <x:v>Teilweise umgesetzt</x:v>
      </x:c>
      <x:c r="I238" s="5" t="str">
        <x:v>Teilprüfung</x:v>
      </x:c>
      <x:c r="J238" s="5" t="str">
        <x:v>Offen</x:v>
      </x:c>
      <x:c r="K238" s="5" t="str">
        <x:v>Offen</x:v>
      </x:c>
      <x:c r="L238" s="5" t="str">
        <x:v>Offen</x:v>
      </x:c>
      <x:c r="M238" s="5" t="str">
        <x:v>CP258: Das Öffnen eines neuen oder eingegangenen Web/Desktop-Chats erzeugt nur noch den Lesebeleg und ändert den ausdrücklichen Arbeitsstatus nicht automatisch auf „In Bearbeitung“. Eine unveränderliche fail-closed Projektion trennt die ursprüngliche Anfrage, tatsächliche Office-Kontaktversuche, spätere Portalantworten, Lesebelege und offene Folgeschritte. Fremde Mandanten-/Threadbezüge, doppelte Kennungen, nicht chronologisch geladene Verläufe sowie ein mikrosekundengenau vor dem Sendezeitpunkt liegender Lesebeleg werden verworfen. Selbst ein vollständig gebundener ausdrücklicher Kommunikationsabschluss lässt den Abschluss einer zugrunde liegenden Aufgabe auf „nicht bestimmt“. Der Kontext zeigt Anfrage, Kontaktversuche, Antworten, offene Folgeschritte und diese Grenze. Sechs neue Risikofälle und 9890/9890 vorhandene Node-Fälle bestanden. Android unverändert. Gesamt-Typecheck nicht ausführbar (tsc fehlt). Echte SQL-/RLS-/Live-SDK-/Browserprüfung sowie Pflege-, Design-, Datenschutz- und Rechtsabnahme offen.</x:v>
      </x:c>
      <x:c r="N238" s="3" t="str">
        <x:f>IF(AND(H238="Umgesetzt",I238="Bestanden",OR(J238="Bestanden",J238="Entfällt geprüft"),OR(K238="Bestanden",K238="Entfällt geprüft"),OR(L238="Bestanden",L238="Entfällt geprüft"),M238&lt;&gt;""),"Abgenommen","Offen")</x:f>
        <x:v>Offen</x:v>
      </x:c>
      <x:c r="O238" s="3" t="str">
        <x:v>Nachhaltung in einer isolierten PostgreSQL-/Supabase-Instanz mit vollständigen echten Nachrichtenverläufen, Zuweisung, mehreren Kontaktversuchen, ausbleibender und später Antwort, Wiederaufnahme, Parallelität und Rechteentzug prüfen. Einen eigenständigen, append-only Aufgaben-/Folgeschrittbezug mit tatsächlicher verantworteter Bearbeitung und Abschlussbeleg ergänzen; Nachricht, Lesen, Antwort, Kommunikationsabschluss und Aufgabenabschluss getrennt halten. Web/Desktop breit und schmal, Tastatur und Screenreader sowie Pflege-, Design-, Datenschutz- und Rechtsabnahmen offen. Nächster unabhängiger Katalogpunkt: W-09 KIM-Anbindung.</x:v>
      </x:c>
    </x:row>
    <x:row r="239" ht="44" customHeight="1">
      <x:c r="A239" s="3" t="str">
        <x:v>W-09</x:v>
      </x:c>
      <x:c r="B239" s="3" t="str">
        <x:v>W Kommunikation und Portale</x:v>
      </x:c>
      <x:c r="C239" s="3" t="str">
        <x:v>KIM-Anbindung</x:v>
      </x:c>
      <x:c r="D239" s="3" t="str">
        <x:v>Aktuelle Spezifikation, Identität, Postfach, Zertifikat, Zustellnachweis</x:v>
      </x:c>
      <x:c r="E239" s="3" t="str">
        <x:v>Integration wird mit erlaubtem Prüfsystem Ende zu Ende nachgewiesen.</x:v>
      </x:c>
      <x:c r="F239" s="3" t="str">
        <x:v>W-P03</x:v>
      </x:c>
      <x:c r="G239" s="3" t="str">
        <x:v>A-03, B-04</x:v>
      </x:c>
      <x:c r="H239" s="5" t="str">
        <x:v>Bestand zu prüfen</x:v>
      </x:c>
      <x:c r="I239" s="5" t="str">
        <x:v>Offen</x:v>
      </x:c>
      <x:c r="J239" s="5" t="str">
        <x:v>Offen</x:v>
      </x:c>
      <x:c r="K239" s="5" t="str">
        <x:v>Offen</x:v>
      </x:c>
      <x:c r="L239" s="5" t="str">
        <x:v>Offen</x:v>
      </x:c>
      <x:c r="M239" s="5" t="str"/>
      <x:c r="N239" s="3" t="str">
        <x:f>IF(AND(H239="Umgesetzt",I239="Bestanden",OR(J239="Bestanden",J239="Entfällt geprüft"),OR(K239="Bestanden",K239="Entfällt geprüft"),OR(L239="Bestanden",L239="Entfällt geprüft"),M239&lt;&gt;""),"Abgenommen","Offen")</x:f>
        <x:v>Offen</x:v>
      </x:c>
      <x:c r="O239" s="3" t="str">
        <x:v>Bestehenden Ablauf für „KIM-Anbindung“ prüfen. Fehlende Datenfelder und Einzelfälle ergänzen, anschließend den genannten Abnahmefall nachweisen.</x:v>
      </x:c>
    </x:row>
    <x:row r="240" ht="44" customHeight="1">
      <x:c r="A240" s="3" t="str">
        <x:v>W-10</x:v>
      </x:c>
      <x:c r="B240" s="3" t="str">
        <x:v>W Kommunikation und Portale</x:v>
      </x:c>
      <x:c r="C240" s="3" t="str">
        <x:v>Elektronische Patientenakte</x:v>
      </x:c>
      <x:c r="D240" s="3" t="str">
        <x:v>Berechtigung, aktuelles Verfahren, Datenumfang, Protokoll</x:v>
      </x:c>
      <x:c r="E240" s="3" t="str">
        <x:v>Funktion bleibt bis technischer und rechtlicher Prüfung ausdrücklich nicht freigegeben.</x:v>
      </x:c>
      <x:c r="F240" s="3" t="str">
        <x:v>W-P04</x:v>
      </x:c>
      <x:c r="G240" s="3" t="str">
        <x:v>A-03, B-04</x:v>
      </x:c>
      <x:c r="H240" s="5" t="str">
        <x:v>Bestand zu prüfen</x:v>
      </x:c>
      <x:c r="I240" s="5" t="str">
        <x:v>Offen</x:v>
      </x:c>
      <x:c r="J240" s="5" t="str">
        <x:v>Offen</x:v>
      </x:c>
      <x:c r="K240" s="5" t="str">
        <x:v>Offen</x:v>
      </x:c>
      <x:c r="L240" s="5" t="str">
        <x:v>Offen</x:v>
      </x:c>
      <x:c r="M240" s="5" t="str"/>
      <x:c r="N240" s="3" t="str">
        <x:f>IF(AND(H240="Umgesetzt",I240="Bestanden",OR(J240="Bestanden",J240="Entfällt geprüft"),OR(K240="Bestanden",K240="Entfällt geprüft"),OR(L240="Bestanden",L240="Entfällt geprüft"),M240&lt;&gt;""),"Abgenommen","Offen")</x:f>
        <x:v>Offen</x:v>
      </x:c>
      <x:c r="O240" s="3" t="str">
        <x:v>Bestehenden Ablauf für „Elektronische Patientenakte“ prüfen. Fehlende Datenfelder und Einzelfälle ergänzen, anschließend den genannten Abnahmefall nachweisen.</x:v>
      </x:c>
    </x:row>
    <x:row r="241" ht="44" customHeight="1">
      <x:c r="A241" s="3" t="str">
        <x:v>W-11</x:v>
      </x:c>
      <x:c r="B241" s="3" t="str">
        <x:v>W Kommunikation und Portale</x:v>
      </x:c>
      <x:c r="C241" s="3" t="str">
        <x:v>Weitere Schnittstellen</x:v>
      </x:c>
      <x:c r="D241" s="3" t="str">
        <x:v>Partner, Vertrag, Spezifikation, Zuordnung, Fehler, Abgleich</x:v>
      </x:c>
      <x:c r="E241" s="3" t="str">
        <x:v>Erfolg bedeutet bestätigte korrekt zugeordnete Daten beim vorgesehenen Empfänger.</x:v>
      </x:c>
      <x:c r="F241" s="3" t="str">
        <x:v>W-P04</x:v>
      </x:c>
      <x:c r="G241" s="3" t="str">
        <x:v>A-03, B-04</x:v>
      </x:c>
      <x:c r="H241" s="5" t="str">
        <x:v>Bestand zu prüfen</x:v>
      </x:c>
      <x:c r="I241" s="5" t="str">
        <x:v>Offen</x:v>
      </x:c>
      <x:c r="J241" s="5" t="str">
        <x:v>Offen</x:v>
      </x:c>
      <x:c r="K241" s="5" t="str">
        <x:v>Offen</x:v>
      </x:c>
      <x:c r="L241" s="5" t="str">
        <x:v>Offen</x:v>
      </x:c>
      <x:c r="M241" s="5" t="str"/>
      <x:c r="N241" s="3" t="str">
        <x:f>IF(AND(H241="Umgesetzt",I241="Bestanden",OR(J241="Bestanden",J241="Entfällt geprüft"),OR(K241="Bestanden",K241="Entfällt geprüft"),OR(L241="Bestanden",L241="Entfällt geprüft"),M241&lt;&gt;""),"Abgenommen","Offen")</x:f>
        <x:v>Offen</x:v>
      </x:c>
      <x:c r="O241" s="3" t="str">
        <x:v>Bestehenden Ablauf für „Weitere Schnittstellen“ prüfen. Fehlende Datenfelder und Einzelfälle ergänzen, anschließend den genannten Abnahmefall nachweisen.</x:v>
      </x:c>
    </x:row>
    <x:row r="242" ht="44" customHeight="1">
      <x:c r="A242" s="3" t="str">
        <x:v>W-12</x:v>
      </x:c>
      <x:c r="B242" s="3" t="str">
        <x:v>W Kommunikation und Portale</x:v>
      </x:c>
      <x:c r="C242" s="3" t="str">
        <x:v>Koordinierte Fallbesprechung</x:v>
      </x:c>
      <x:c r="D242" s="3" t="str">
        <x:v>Teilnehmer, Berechtigung, Anlass, Beschluss, Folgeaufgabe</x:v>
      </x:c>
      <x:c r="E242" s="3" t="str">
        <x:v>Beschluss ist mit zuständiger Umsetzung und überprüfbarem Ergebnis verbunden.</x:v>
      </x:c>
      <x:c r="F242" s="3" t="str">
        <x:v>W-P04</x:v>
      </x:c>
      <x:c r="G242" s="3" t="str">
        <x:v>A-03, B-04</x:v>
      </x:c>
      <x:c r="H242" s="5" t="str">
        <x:v>Bestand zu prüfen</x:v>
      </x:c>
      <x:c r="I242" s="5" t="str">
        <x:v>Offen</x:v>
      </x:c>
      <x:c r="J242" s="5" t="str">
        <x:v>Offen</x:v>
      </x:c>
      <x:c r="K242" s="5" t="str">
        <x:v>Offen</x:v>
      </x:c>
      <x:c r="L242" s="5" t="str">
        <x:v>Offen</x:v>
      </x:c>
      <x:c r="M242" s="5" t="str"/>
      <x:c r="N242" s="3" t="str">
        <x:f>IF(AND(H242="Umgesetzt",I242="Bestanden",OR(J242="Bestanden",J242="Entfällt geprüft"),OR(K242="Bestanden",K242="Entfällt geprüft"),OR(L242="Bestanden",L242="Entfällt geprüft"),M242&lt;&gt;""),"Abgenommen","Offen")</x:f>
        <x:v>Offen</x:v>
      </x:c>
      <x:c r="O242" s="3" t="str">
        <x:v>Bestehenden Ablauf für „Koordinierte Fallbesprechung“ prüfen. Fehlende Datenfelder und Einzelfälle ergänzen, anschließend den genannten Abnahmefall nachweisen.</x:v>
      </x:c>
    </x:row>
    <x:row r="243" ht="44" customHeight="1">
      <x:c r="A243" s="3" t="str">
        <x:v>X-01</x:v>
      </x:c>
      <x:c r="B243" s="3" t="str">
        <x:v>X Datenschutz und rechtliche Nachweise</x:v>
      </x:c>
      <x:c r="C243" s="3" t="str">
        <x:v>Rechtsgrundlagen zuordnen</x:v>
      </x:c>
      <x:c r="D243" s="3" t="str">
        <x:v>Verarbeitungszweck, Datenkategorie, aktuelle Grundlage, Verantwortliche</x:v>
      </x:c>
      <x:c r="E243" s="3" t="str">
        <x:v>Jede Verarbeitung erhält eine fachlich geprüfte passende Grundlage.</x:v>
      </x:c>
      <x:c r="F243" s="3" t="str">
        <x:v>X-P01</x:v>
      </x:c>
      <x:c r="G243" s="3" t="str">
        <x:v>A-03, B-04</x:v>
      </x:c>
      <x:c r="H243" s="5" t="str">
        <x:v>Bestand zu prüfen</x:v>
      </x:c>
      <x:c r="I243" s="5" t="str">
        <x:v>Offen</x:v>
      </x:c>
      <x:c r="J243" s="5" t="str">
        <x:v>Offen</x:v>
      </x:c>
      <x:c r="K243" s="5" t="str">
        <x:v>Offen</x:v>
      </x:c>
      <x:c r="L243" s="5" t="str">
        <x:v>Offen</x:v>
      </x:c>
      <x:c r="M243" s="5" t="str"/>
      <x:c r="N243" s="3" t="str">
        <x:f>IF(AND(H243="Umgesetzt",I243="Bestanden",OR(J243="Bestanden",J243="Entfällt geprüft"),OR(K243="Bestanden",K243="Entfällt geprüft"),OR(L243="Bestanden",L243="Entfällt geprüft"),M243&lt;&gt;""),"Abgenommen","Offen")</x:f>
        <x:v>Offen</x:v>
      </x:c>
      <x:c r="O243" s="3" t="str">
        <x:v>Bestehenden Ablauf für „Rechtsgrundlagen zuordnen“ prüfen. Fehlende Datenfelder und Einzelfälle ergänzen, anschließend den genannten Abnahmefall nachweisen.</x:v>
      </x:c>
    </x:row>
    <x:row r="244" ht="44" customHeight="1">
      <x:c r="A244" s="3" t="str">
        <x:v>X-02</x:v>
      </x:c>
      <x:c r="B244" s="3" t="str">
        <x:v>X Datenschutz und rechtliche Nachweise</x:v>
      </x:c>
      <x:c r="C244" s="3" t="str">
        <x:v>Einwilligung und Widerruf</x:v>
      </x:c>
      <x:c r="D244" s="3" t="str">
        <x:v>Zweck, Umfang, Version, Person, Zeitpunkt, Widerruf</x:v>
      </x:c>
      <x:c r="E244" s="3" t="str">
        <x:v>Widerruf wirkt für den betroffenen Zweck ohne ungeprüft Pflichtdokumente zu löschen.</x:v>
      </x:c>
      <x:c r="F244" s="3" t="str">
        <x:v>X-P01</x:v>
      </x:c>
      <x:c r="G244" s="3" t="str">
        <x:v>A-03, B-04</x:v>
      </x:c>
      <x:c r="H244" s="5" t="str">
        <x:v>Bestand zu prüfen</x:v>
      </x:c>
      <x:c r="I244" s="5" t="str">
        <x:v>Offen</x:v>
      </x:c>
      <x:c r="J244" s="5" t="str">
        <x:v>Offen</x:v>
      </x:c>
      <x:c r="K244" s="5" t="str">
        <x:v>Offen</x:v>
      </x:c>
      <x:c r="L244" s="5" t="str">
        <x:v>Offen</x:v>
      </x:c>
      <x:c r="M244" s="5" t="str"/>
      <x:c r="N244" s="3" t="str">
        <x:f>IF(AND(H244="Umgesetzt",I244="Bestanden",OR(J244="Bestanden",J244="Entfällt geprüft"),OR(K244="Bestanden",K244="Entfällt geprüft"),OR(L244="Bestanden",L244="Entfällt geprüft"),M244&lt;&gt;""),"Abgenommen","Offen")</x:f>
        <x:v>Offen</x:v>
      </x:c>
      <x:c r="O244" s="3" t="str">
        <x:v>Bestehenden Ablauf für „Einwilligung und Widerruf“ prüfen. Fehlende Datenfelder und Einzelfälle ergänzen, anschließend den genannten Abnahmefall nachweisen.</x:v>
      </x:c>
    </x:row>
    <x:row r="245" ht="44" customHeight="1">
      <x:c r="A245" s="3" t="str">
        <x:v>X-03</x:v>
      </x:c>
      <x:c r="B245" s="3" t="str">
        <x:v>X Datenschutz und rechtliche Nachweise</x:v>
      </x:c>
      <x:c r="C245" s="3" t="str">
        <x:v>Datenschutzverträge und Anbieter</x:v>
      </x:c>
      <x:c r="D245" s="3" t="str">
        <x:v>Auftragsverarbeitung, Unterauftragnehmer, Region, technische Maßnahmen</x:v>
      </x:c>
      <x:c r="E245" s="3" t="str">
        <x:v>Relevanter Anbieterwechsel ist vor Freigabe überprüft.</x:v>
      </x:c>
      <x:c r="F245" s="3" t="str">
        <x:v>X-P01</x:v>
      </x:c>
      <x:c r="G245" s="3" t="str">
        <x:v>A-03, B-04</x:v>
      </x:c>
      <x:c r="H245" s="5" t="str">
        <x:v>Bestand zu prüfen</x:v>
      </x:c>
      <x:c r="I245" s="5" t="str">
        <x:v>Offen</x:v>
      </x:c>
      <x:c r="J245" s="5" t="str">
        <x:v>Offen</x:v>
      </x:c>
      <x:c r="K245" s="5" t="str">
        <x:v>Offen</x:v>
      </x:c>
      <x:c r="L245" s="5" t="str">
        <x:v>Offen</x:v>
      </x:c>
      <x:c r="M245" s="5" t="str"/>
      <x:c r="N245" s="3" t="str">
        <x:f>IF(AND(H245="Umgesetzt",I245="Bestanden",OR(J245="Bestanden",J245="Entfällt geprüft"),OR(K245="Bestanden",K245="Entfällt geprüft"),OR(L245="Bestanden",L245="Entfällt geprüft"),M245&lt;&gt;""),"Abgenommen","Offen")</x:f>
        <x:v>Offen</x:v>
      </x:c>
      <x:c r="O245" s="3" t="str">
        <x:v>Bestehenden Ablauf für „Datenschutzverträge und Anbieter“ prüfen. Fehlende Datenfelder und Einzelfälle ergänzen, anschließend den genannten Abnahmefall nachweisen.</x:v>
      </x:c>
    </x:row>
    <x:row r="246" ht="44" customHeight="1">
      <x:c r="A246" s="3" t="str">
        <x:v>X-04</x:v>
      </x:c>
      <x:c r="B246" s="3" t="str">
        <x:v>X Datenschutz und rechtliche Nachweise</x:v>
      </x:c>
      <x:c r="C246" s="3" t="str">
        <x:v>Aufbewahrung und Löschung</x:v>
      </x:c>
      <x:c r="D246" s="3" t="str">
        <x:v>Dokumentart, gültige Frist, Sperre, Löschprüfung, Protokoll</x:v>
      </x:c>
      <x:c r="E246" s="3" t="str">
        <x:v>Keine pauschale Einheitsfrist wird allen Dokumentarten auferlegt.</x:v>
      </x:c>
      <x:c r="F246" s="3" t="str">
        <x:v>X-P02</x:v>
      </x:c>
      <x:c r="G246" s="3" t="str">
        <x:v>A-03, B-04</x:v>
      </x:c>
      <x:c r="H246" s="5" t="str">
        <x:v>Bestand zu prüfen</x:v>
      </x:c>
      <x:c r="I246" s="5" t="str">
        <x:v>Offen</x:v>
      </x:c>
      <x:c r="J246" s="5" t="str">
        <x:v>Offen</x:v>
      </x:c>
      <x:c r="K246" s="5" t="str">
        <x:v>Offen</x:v>
      </x:c>
      <x:c r="L246" s="5" t="str">
        <x:v>Offen</x:v>
      </x:c>
      <x:c r="M246" s="5" t="str"/>
      <x:c r="N246" s="3" t="str">
        <x:f>IF(AND(H246="Umgesetzt",I246="Bestanden",OR(J246="Bestanden",J246="Entfällt geprüft"),OR(K246="Bestanden",K246="Entfällt geprüft"),OR(L246="Bestanden",L246="Entfällt geprüft"),M246&lt;&gt;""),"Abgenommen","Offen")</x:f>
        <x:v>Offen</x:v>
      </x:c>
      <x:c r="O246" s="3" t="str">
        <x:v>Bestehenden Ablauf für „Aufbewahrung und Löschung“ prüfen. Fehlende Datenfelder und Einzelfälle ergänzen, anschließend den genannten Abnahmefall nachweisen.</x:v>
      </x:c>
    </x:row>
    <x:row r="247" ht="155" customHeight="1">
      <x:c r="A247" s="3" t="str">
        <x:v>X-05</x:v>
      </x:c>
      <x:c r="B247" s="3" t="str">
        <x:v>X Datenschutz und rechtliche Nachweise</x:v>
      </x:c>
      <x:c r="C247" s="3" t="str">
        <x:v>Auskunft und Datenexport</x:v>
      </x:c>
      <x:c r="D247" s="3" t="str">
        <x:v>Berechtigte Anfrage, Identitätsprüfung, Umfang, Ausgabe, Protokoll</x:v>
      </x:c>
      <x:c r="E247" s="3" t="str">
        <x:v>Export enthält keine Akten anderer Betroffener.</x:v>
      </x:c>
      <x:c r="F247" s="3" t="str">
        <x:v>X-P02</x:v>
      </x:c>
      <x:c r="G247" s="3" t="str">
        <x:v>A-03, B-04</x:v>
      </x:c>
      <x:c r="H247" s="5" t="str">
        <x:v>Teilweise umgesetzt</x:v>
      </x:c>
      <x:c r="I247" s="5" t="str">
        <x:v>Teilprüfung</x:v>
      </x:c>
      <x:c r="J247" s="5" t="str">
        <x:v>Offen</x:v>
      </x:c>
      <x:c r="K247" s="5" t="str">
        <x:v>Offen</x:v>
      </x:c>
      <x:c r="L247" s="5" t="str">
        <x:v>Offen</x:v>
      </x:c>
      <x:c r="M247" s="5" t="str">
        <x:v>CP37/38: Evaluationsauszug mit festem historischem Planbezug als HTML, JSON und Druckansicht. Alle geladenen Originale, Einzelbefunde, Berichtigungen und Rücknahmen; keine Kürzung durch Filter. 27 neue Fälle, 1822/1822 kumulativ. Fremder Mandant/Pflegefall und beschädigte Historie sperren Ausgabe. Download-/Druckadapter samt Fehlerbereinigung lokal geprüft. Echte Browser-/SDK-/Rechte- und fachliche/rechtliche Abnahme offen.</x:v>
      </x:c>
      <x:c r="N247" s="3" t="str">
        <x:f>IF(AND(H247="Umgesetzt",I247="Bestanden",OR(J247="Bestanden",J247="Entfällt geprüft"),OR(K247="Bestanden",K247="Entfällt geprüft"),OR(L247="Bestanden",L247="Entfällt geprüft"),M247&lt;&gt;""),"Abgenommen","Offen")</x:f>
        <x:v>Offen</x:v>
      </x:c>
      <x:c r="O247" s="3" t="str">
        <x:v>Vollständige Auskunftsanfrage mit Identitätsprüfung, Berechtigung, Aktenumfang und Ausgabeprotokoll umsetzen. Bisher nur Evaluationsbestand mit festem Planbezug, kein vollständiger Aktenexport. Echtes Browserlayout und Rechteprüfung nachweisen.</x:v>
      </x:c>
    </x:row>
    <x:row r="248" ht="44" customHeight="1">
      <x:c r="A248" s="3" t="str">
        <x:v>X-06</x:v>
      </x:c>
      <x:c r="B248" s="3" t="str">
        <x:v>X Datenschutz und rechtliche Nachweise</x:v>
      </x:c>
      <x:c r="C248" s="3" t="str">
        <x:v>Zugriffsprotokoll</x:v>
      </x:c>
      <x:c r="D248" s="3" t="str">
        <x:v>Benutzer, Aktion, Objekt, Zeitpunkt, Zweckbezug</x:v>
      </x:c>
      <x:c r="E248" s="3" t="str">
        <x:v>Sensible Nutzdaten werden nicht unnötig in technische Logs kopiert.</x:v>
      </x:c>
      <x:c r="F248" s="3" t="str">
        <x:v>X-P02</x:v>
      </x:c>
      <x:c r="G248" s="3" t="str">
        <x:v>A-03, B-04</x:v>
      </x:c>
      <x:c r="H248" s="5" t="str">
        <x:v>Bestand zu prüfen</x:v>
      </x:c>
      <x:c r="I248" s="5" t="str">
        <x:v>Offen</x:v>
      </x:c>
      <x:c r="J248" s="5" t="str">
        <x:v>Offen</x:v>
      </x:c>
      <x:c r="K248" s="5" t="str">
        <x:v>Offen</x:v>
      </x:c>
      <x:c r="L248" s="5" t="str">
        <x:v>Offen</x:v>
      </x:c>
      <x:c r="M248" s="5" t="str"/>
      <x:c r="N248" s="3" t="str">
        <x:f>IF(AND(H248="Umgesetzt",I248="Bestanden",OR(J248="Bestanden",J248="Entfällt geprüft"),OR(K248="Bestanden",K248="Entfällt geprüft"),OR(L248="Bestanden",L248="Entfällt geprüft"),M248&lt;&gt;""),"Abgenommen","Offen")</x:f>
        <x:v>Offen</x:v>
      </x:c>
      <x:c r="O248" s="3" t="str">
        <x:v>Bestehenden Ablauf für „Zugriffsprotokoll“ prüfen. Fehlende Datenfelder und Einzelfälle ergänzen, anschließend den genannten Abnahmefall nachweisen.</x:v>
      </x:c>
    </x:row>
    <x:row r="249" ht="44" customHeight="1">
      <x:c r="A249" s="3" t="str">
        <x:v>X-07</x:v>
      </x:c>
      <x:c r="B249" s="3" t="str">
        <x:v>X Datenschutz und rechtliche Nachweise</x:v>
      </x:c>
      <x:c r="C249" s="3" t="str">
        <x:v>Informationssicherheit und Vorfälle</x:v>
      </x:c>
      <x:c r="D249" s="3" t="str">
        <x:v>Vorfall, Bewertung, Zuständigkeit, Fristprüfung, Maßnahmen</x:v>
      </x:c>
      <x:c r="E249" s="3" t="str">
        <x:v>Vorfälle bleiben bis dokumentierter Behandlung und Abschluss nachvollziehbar.</x:v>
      </x:c>
      <x:c r="F249" s="3" t="str">
        <x:v>X-P03</x:v>
      </x:c>
      <x:c r="G249" s="3" t="str">
        <x:v>A-03, B-04</x:v>
      </x:c>
      <x:c r="H249" s="5" t="str">
        <x:v>Bestand zu prüfen</x:v>
      </x:c>
      <x:c r="I249" s="5" t="str">
        <x:v>Offen</x:v>
      </x:c>
      <x:c r="J249" s="5" t="str">
        <x:v>Offen</x:v>
      </x:c>
      <x:c r="K249" s="5" t="str">
        <x:v>Offen</x:v>
      </x:c>
      <x:c r="L249" s="5" t="str">
        <x:v>Offen</x:v>
      </x:c>
      <x:c r="M249" s="5" t="str"/>
      <x:c r="N249" s="3" t="str">
        <x:f>IF(AND(H249="Umgesetzt",I249="Bestanden",OR(J249="Bestanden",J249="Entfällt geprüft"),OR(K249="Bestanden",K249="Entfällt geprüft"),OR(L249="Bestanden",L249="Entfällt geprüft"),M249&lt;&gt;""),"Abgenommen","Offen")</x:f>
        <x:v>Offen</x:v>
      </x:c>
      <x:c r="O249" s="3" t="str">
        <x:v>Bestehenden Ablauf für „Informationssicherheit und Vorfälle“ prüfen. Fehlende Datenfelder und Einzelfälle ergänzen, anschließend den genannten Abnahmefall nachweisen.</x:v>
      </x:c>
    </x:row>
    <x:row r="250" ht="44" customHeight="1">
      <x:c r="A250" s="3" t="str">
        <x:v>X-08</x:v>
      </x:c>
      <x:c r="B250" s="3" t="str">
        <x:v>X Datenschutz und rechtliche Nachweise</x:v>
      </x:c>
      <x:c r="C250" s="3" t="str">
        <x:v>Rechtliche Fachprüfung</x:v>
      </x:c>
      <x:c r="D250" s="3" t="str">
        <x:v>SGB, HKP, Dokumentation, Verträge, regionale Regelung, Aktualität</x:v>
      </x:c>
      <x:c r="E250" s="3" t="str">
        <x:v>Rechtliche Vollständigkeit wird erst nach konkret dokumentierter Prüfung behauptet.</x:v>
      </x:c>
      <x:c r="F250" s="3" t="str">
        <x:v>X-P03</x:v>
      </x:c>
      <x:c r="G250" s="3" t="str">
        <x:v>A-03, B-04</x:v>
      </x:c>
      <x:c r="H250" s="5" t="str">
        <x:v>Bestand zu prüfen</x:v>
      </x:c>
      <x:c r="I250" s="5" t="str">
        <x:v>Offen</x:v>
      </x:c>
      <x:c r="J250" s="5" t="str">
        <x:v>Offen</x:v>
      </x:c>
      <x:c r="K250" s="5" t="str">
        <x:v>Offen</x:v>
      </x:c>
      <x:c r="L250" s="5" t="str">
        <x:v>Offen</x:v>
      </x:c>
      <x:c r="M250" s="5" t="str"/>
      <x:c r="N250" s="3" t="str">
        <x:f>IF(AND(H250="Umgesetzt",I250="Bestanden",OR(J250="Bestanden",J250="Entfällt geprüft"),OR(K250="Bestanden",K250="Entfällt geprüft"),OR(L250="Bestanden",L250="Entfällt geprüft"),M250&lt;&gt;""),"Abgenommen","Offen")</x:f>
        <x:v>Offen</x:v>
      </x:c>
      <x:c r="O250" s="3" t="str">
        <x:v>Bestehenden Ablauf für „Rechtliche Fachprüfung“ prüfen. Fehlende Datenfelder und Einzelfälle ergänzen, anschließend den genannten Abnahmefall nachweisen.</x:v>
      </x:c>
    </x:row>
    <x:row r="251" ht="155" customHeight="1">
      <x:c r="A251" s="3" t="str">
        <x:v>Y-01</x:v>
      </x:c>
      <x:c r="B251" s="3" t="str">
        <x:v>Y Technik und Bedienbarkeit</x:v>
      </x:c>
      <x:c r="C251" s="3" t="str">
        <x:v>Persistenz und Fehlerzustände</x:v>
      </x:c>
      <x:c r="D251" s="3" t="str">
        <x:v>Laden, leer, Fehler, erfolgreich, gespeicherte Version</x:v>
      </x:c>
      <x:c r="E251" s="3" t="str">
        <x:v>Erfolg wird erst nach bestätigter Speicherung angezeigt.</x:v>
      </x:c>
      <x:c r="F251" s="3" t="str">
        <x:v>Y-P01</x:v>
      </x:c>
      <x:c r="G251" s="3" t="str">
        <x:v>A-03, A-04</x:v>
      </x:c>
      <x:c r="H251" s="5" t="str">
        <x:v>Teilweise umgesetzt</x:v>
      </x:c>
      <x:c r="I251" s="5" t="str">
        <x:v>Teilprüfung</x:v>
      </x:c>
      <x:c r="J251" s="5" t="str">
        <x:v>Offen</x:v>
      </x:c>
      <x:c r="K251" s="5" t="str">
        <x:v>Offen</x:v>
      </x:c>
      <x:c r="L251" s="5" t="str">
        <x:v>Offen</x:v>
      </x:c>
      <x:c r="M251" s="5" t="str">
        <x:v>Checkpoint 20: 442 lokale Domänen-/Gatewayfälle bestanden, davon 55 neue strukturierte Behandlungspflegefälle. Vollständige Quellenseiten, Originalkonflikte, geschützter Quellenverlauf und identische Anfragewiederholung ergänzt. Echte SQL-/RLS-/Browser-/Gesamt-Typecheckprüfung fehlt.</x:v>
      </x:c>
      <x:c r="N251" s="3" t="str">
        <x:f>IF(AND(H251="Umgesetzt",I251="Bestanden",OR(J251="Bestanden",J251="Entfällt geprüft"),OR(K251="Bestanden",K251="Entfällt geprüft"),OR(L251="Bestanden",L251="Entfällt geprüft"),M251&lt;&gt;""),"Abgenommen","Offen")</x:f>
        <x:v>Offen</x:v>
      </x:c>
      <x:c r="O251" s="3" t="str">
        <x:v>Datenbank-/RLS-/Parallelitäts-/Rollback-/Replayfälle und breite/schmale Webbedienung tatsächlich prüfen. Große Akten, Quellenänderungen, Altwriter/native Reader, Aufbewahrung und Wiederaufnahme nach erzwungenem Reload prüfen. Fach-/Rechtsabnahme offen.</x:v>
      </x:c>
    </x:row>
    <x:row r="252" ht="155" customHeight="1">
      <x:c r="A252" s="3" t="str">
        <x:v>Y-02</x:v>
      </x:c>
      <x:c r="B252" s="3" t="str">
        <x:v>Y Technik und Bedienbarkeit</x:v>
      </x:c>
      <x:c r="C252" s="3" t="str">
        <x:v>Unterbrochene Schreibvorgänge</x:v>
      </x:c>
      <x:c r="D252" s="3" t="str">
        <x:v>Anfrage-ID, unveränderte Nutzdaten, Wiederholung, Abgleich</x:v>
      </x:c>
      <x:c r="E252" s="3" t="str">
        <x:v>Verlorene Antwort erzeugt bei Wiederholung kein Duplikat.</x:v>
      </x:c>
      <x:c r="F252" s="3" t="str">
        <x:v>Y-P01</x:v>
      </x:c>
      <x:c r="G252" s="3" t="str">
        <x:v>A-03, A-04</x:v>
      </x:c>
      <x:c r="H252" s="5" t="str">
        <x:v>Teilweise umgesetzt</x:v>
      </x:c>
      <x:c r="I252" s="5" t="str">
        <x:v>Teilprüfung</x:v>
      </x:c>
      <x:c r="J252" s="5" t="str">
        <x:v>Offen</x:v>
      </x:c>
      <x:c r="K252" s="5" t="str">
        <x:v>Offen</x:v>
      </x:c>
      <x:c r="L252" s="5" t="str">
        <x:v>Offen</x:v>
      </x:c>
      <x:c r="M252" s="5" t="str">
        <x:v>CP132: Begonnene ungewisse native Writes bleiben gesperrt; eigene bewiesene Nichtwrites freigegeben. 4190 lokale Tests.</x:v>
      </x:c>
      <x:c r="N252" s="3" t="str">
        <x:f>IF(AND(H252="Umgesetzt",I252="Bestanden",OR(J252="Bestanden",J252="Entfällt geprüft"),OR(K252="Bestanden",K252="Entfällt geprüft"),OR(L252="Bestanden",L252="Entfällt geprüft"),M252&lt;&gt;""),"Abgenommen","Offen")</x:f>
        <x:v>Offen</x:v>
      </x:c>
      <x:c r="O252" s="3" t="str">
        <x:v>Native Idempotenz, Reload-Persistenz, SQL/RLS, atomare Mehrschritt-/Replayfälle und reale Bedienung nachweisen.</x:v>
      </x:c>
    </x:row>
    <x:row r="253" ht="155" customHeight="1">
      <x:c r="A253" s="3" t="str">
        <x:v>Y-03</x:v>
      </x:c>
      <x:c r="B253" s="3" t="str">
        <x:v>Y Technik und Bedienbarkeit</x:v>
      </x:c>
      <x:c r="C253" s="3" t="str">
        <x:v>Parallelbearbeitung</x:v>
      </x:c>
      <x:c r="D253" s="3" t="str">
        <x:v>Versionsstand, Konflikt, Vergleich, bewusste Übernahme</x:v>
      </x:c>
      <x:c r="E253" s="3" t="str">
        <x:v>Zweiter Benutzer überschreibt keinen geänderten fachlichen Stand unbemerkt.</x:v>
      </x:c>
      <x:c r="F253" s="3" t="str">
        <x:v>Y-P01</x:v>
      </x:c>
      <x:c r="G253" s="3" t="str">
        <x:v>A-03, A-04</x:v>
      </x:c>
      <x:c r="H253" s="5" t="str">
        <x:v>Teilweise umgesetzt</x:v>
      </x:c>
      <x:c r="I253" s="5" t="str">
        <x:v>Teilprüfung</x:v>
      </x:c>
      <x:c r="J253" s="5" t="str">
        <x:v>Offen</x:v>
      </x:c>
      <x:c r="K253" s="5" t="str">
        <x:v>Offen</x:v>
      </x:c>
      <x:c r="L253" s="5" t="str">
        <x:v>Offen</x:v>
      </x:c>
      <x:c r="M253" s="5" t="str">
        <x:v>Checkpoint 13: atomare Assessment-Neuanlage mit explizitem Pflegefall/Anlass, serverbestimmter Person und Anfragebeleg lokal vorbereitet; begründete Rückgabe mit Snapshot und nächster Version implementiert. Webformulare behalten unklare Anfragen unverändert. 17 neue Domänen-/Gatewayfälle, insgesamt 170 bestanden. SQL, echte Webinteraktion und Fachfreigabe nicht geprüft.</x:v>
      </x:c>
      <x:c r="N253" s="3" t="str">
        <x:f>IF(AND(H253="Umgesetzt",I253="Bestanden",OR(J253="Bestanden",J253="Entfällt geprüft"),OR(K253="Bestanden",K253="Entfällt geprüft"),OR(L253="Bestanden",L253="Entfällt geprüft"),M253&lt;&gt;""),"Abgenommen","Offen")</x:f>
        <x:v>Offen</x:v>
      </x:c>
      <x:c r="O253" s="3" t="str">
        <x:v>Neue Lifecycle-RPCs, Rollback, Parallelität, Trigger- und RLS-Rechte tatsächlich prüfen; Web breit/schmal und Typecheck nachweisen. Fachlich freigegebene Fortschreibung, Evaluationsworkflow, Lösch-/Aufbewahrung und Wiederaufnahme nach erzwungenem Reload bleiben offen.</x:v>
      </x:c>
    </x:row>
    <x:row r="254" ht="44" customHeight="1">
      <x:c r="A254" s="3" t="str">
        <x:v>Y-04</x:v>
      </x:c>
      <x:c r="B254" s="3" t="str">
        <x:v>Y Technik und Bedienbarkeit</x:v>
      </x:c>
      <x:c r="C254" s="3" t="str">
        <x:v>Offline und Synchronisierung</x:v>
      </x:c>
      <x:c r="D254" s="3" t="str">
        <x:v>Lokaler Schutz, Synchronstatus, Konflikt, Entwurf, Löschung</x:v>
      </x:c>
      <x:c r="E254" s="3" t="str">
        <x:v>Offline-Eintrag bleibt sichtbar unbestätigt bis tatsächlicher Serverannahme.</x:v>
      </x:c>
      <x:c r="F254" s="3" t="str">
        <x:v>Y-P02</x:v>
      </x:c>
      <x:c r="G254" s="3" t="str">
        <x:v>A-03, A-04</x:v>
      </x:c>
      <x:c r="H254" s="5" t="str">
        <x:v>Bestand zu prüfen</x:v>
      </x:c>
      <x:c r="I254" s="5" t="str">
        <x:v>Offen</x:v>
      </x:c>
      <x:c r="J254" s="5" t="str">
        <x:v>Offen</x:v>
      </x:c>
      <x:c r="K254" s="5" t="str">
        <x:v>Offen</x:v>
      </x:c>
      <x:c r="L254" s="5" t="str">
        <x:v>Offen</x:v>
      </x:c>
      <x:c r="M254" s="5" t="str"/>
      <x:c r="N254" s="3" t="str">
        <x:f>IF(AND(H254="Umgesetzt",I254="Bestanden",OR(J254="Bestanden",J254="Entfällt geprüft"),OR(K254="Bestanden",K254="Entfällt geprüft"),OR(L254="Bestanden",L254="Entfällt geprüft"),M254&lt;&gt;""),"Abgenommen","Offen")</x:f>
        <x:v>Offen</x:v>
      </x:c>
      <x:c r="O254" s="3" t="str">
        <x:v>Bestehenden Ablauf für „Offline und Synchronisierung“ prüfen. Fehlende Datenfelder und Einzelfälle ergänzen, anschließend den genannten Abnahmefall nachweisen.</x:v>
      </x:c>
    </x:row>
    <x:row r="255" ht="44" customHeight="1">
      <x:c r="A255" s="3" t="str">
        <x:v>Y-05</x:v>
      </x:c>
      <x:c r="B255" s="3" t="str">
        <x:v>Y Technik und Bedienbarkeit</x:v>
      </x:c>
      <x:c r="C255" s="3" t="str">
        <x:v>Import und Migration</x:v>
      </x:c>
      <x:c r="D255" s="3" t="str">
        <x:v>Quelle, Zuordnung, Einheiten, Dublette, Prüfprotokoll</x:v>
      </x:c>
      <x:c r="E255" s="3" t="str">
        <x:v>Import lässt sich mit Mengen und repräsentativen Inhalten gegenprüfen.</x:v>
      </x:c>
      <x:c r="F255" s="3" t="str">
        <x:v>Y-P02</x:v>
      </x:c>
      <x:c r="G255" s="3" t="str">
        <x:v>A-03, A-04</x:v>
      </x:c>
      <x:c r="H255" s="5" t="str">
        <x:v>Bestand zu prüfen</x:v>
      </x:c>
      <x:c r="I255" s="5" t="str">
        <x:v>Offen</x:v>
      </x:c>
      <x:c r="J255" s="5" t="str">
        <x:v>Offen</x:v>
      </x:c>
      <x:c r="K255" s="5" t="str">
        <x:v>Offen</x:v>
      </x:c>
      <x:c r="L255" s="5" t="str">
        <x:v>Offen</x:v>
      </x:c>
      <x:c r="M255" s="5" t="str"/>
      <x:c r="N255" s="3" t="str">
        <x:f>IF(AND(H255="Umgesetzt",I255="Bestanden",OR(J255="Bestanden",J255="Entfällt geprüft"),OR(K255="Bestanden",K255="Entfällt geprüft"),OR(L255="Bestanden",L255="Entfällt geprüft"),M255&lt;&gt;""),"Abgenommen","Offen")</x:f>
        <x:v>Offen</x:v>
      </x:c>
      <x:c r="O255" s="3" t="str">
        <x:v>Bestehenden Ablauf für „Import und Migration“ prüfen. Fehlende Datenfelder und Einzelfälle ergänzen, anschließend den genannten Abnahmefall nachweisen.</x:v>
      </x:c>
    </x:row>
    <x:row r="256" ht="44" customHeight="1">
      <x:c r="A256" s="3" t="str">
        <x:v>Y-06</x:v>
      </x:c>
      <x:c r="B256" s="3" t="str">
        <x:v>Y Technik und Bedienbarkeit</x:v>
      </x:c>
      <x:c r="C256" s="3" t="str">
        <x:v>Sicherung und Wiederherstellung</x:v>
      </x:c>
      <x:c r="D256" s="3" t="str">
        <x:v>Sicherungsstand, Umfang, Zugriff, Wiederanlauf, Wiederherstellungsprobe</x:v>
      </x:c>
      <x:c r="E256" s="3" t="str">
        <x:v>Eine vorhandene Sicherungsdatei gilt erst nach erfolgreicher Rücksicherung als geprüft.</x:v>
      </x:c>
      <x:c r="F256" s="3" t="str">
        <x:v>Y-P02</x:v>
      </x:c>
      <x:c r="G256" s="3" t="str">
        <x:v>A-03, A-04</x:v>
      </x:c>
      <x:c r="H256" s="5" t="str">
        <x:v>Bestand zu prüfen</x:v>
      </x:c>
      <x:c r="I256" s="5" t="str">
        <x:v>Offen</x:v>
      </x:c>
      <x:c r="J256" s="5" t="str">
        <x:v>Offen</x:v>
      </x:c>
      <x:c r="K256" s="5" t="str">
        <x:v>Offen</x:v>
      </x:c>
      <x:c r="L256" s="5" t="str">
        <x:v>Offen</x:v>
      </x:c>
      <x:c r="M256" s="5" t="str"/>
      <x:c r="N256" s="3" t="str">
        <x:f>IF(AND(H256="Umgesetzt",I256="Bestanden",OR(J256="Bestanden",J256="Entfällt geprüft"),OR(K256="Bestanden",K256="Entfällt geprüft"),OR(L256="Bestanden",L256="Entfällt geprüft"),M256&lt;&gt;""),"Abgenommen","Offen")</x:f>
        <x:v>Offen</x:v>
      </x:c>
      <x:c r="O256" s="3" t="str">
        <x:v>Bestehenden Ablauf für „Sicherung und Wiederherstellung“ prüfen. Fehlende Datenfelder und Einzelfälle ergänzen, anschließend den genannten Abnahmefall nachweisen.</x:v>
      </x:c>
    </x:row>
    <x:row r="257" ht="44" customHeight="1">
      <x:c r="A257" s="3" t="str">
        <x:v>Y-07</x:v>
      </x:c>
      <x:c r="B257" s="3" t="str">
        <x:v>Y Technik und Bedienbarkeit</x:v>
      </x:c>
      <x:c r="C257" s="3" t="str">
        <x:v>Web und Desktop Design</x:v>
      </x:c>
      <x:c r="D257" s="3" t="str">
        <x:v>Navigation, breite und schmale Darstellung, lange Texte, Kontrast</x:v>
      </x:c>
      <x:c r="E257" s="3" t="str">
        <x:v>Alle Pflichtaktionen bleiben sichtbar erreichbar und visuell im echten Browser geprüft.</x:v>
      </x:c>
      <x:c r="F257" s="3" t="str">
        <x:v>Y-P03</x:v>
      </x:c>
      <x:c r="G257" s="3" t="str">
        <x:v>A-03, A-04</x:v>
      </x:c>
      <x:c r="H257" s="5" t="str">
        <x:v>Bestand zu prüfen</x:v>
      </x:c>
      <x:c r="I257" s="5" t="str">
        <x:v>Offen</x:v>
      </x:c>
      <x:c r="J257" s="5" t="str">
        <x:v>Offen</x:v>
      </x:c>
      <x:c r="K257" s="5" t="str">
        <x:v>Offen</x:v>
      </x:c>
      <x:c r="L257" s="5" t="str">
        <x:v>Offen</x:v>
      </x:c>
      <x:c r="M257" s="5" t="str"/>
      <x:c r="N257" s="3" t="str">
        <x:f>IF(AND(H257="Umgesetzt",I257="Bestanden",OR(J257="Bestanden",J257="Entfällt geprüft"),OR(K257="Bestanden",K257="Entfällt geprüft"),OR(L257="Bestanden",L257="Entfällt geprüft"),M257&lt;&gt;""),"Abgenommen","Offen")</x:f>
        <x:v>Offen</x:v>
      </x:c>
      <x:c r="O257" s="3" t="str">
        <x:v>Bestehenden Ablauf für „Web und Desktop Design“ prüfen. Fehlende Datenfelder und Einzelfälle ergänzen, anschließend den genannten Abnahmefall nachweisen.</x:v>
      </x:c>
    </x:row>
    <x:row r="258" ht="44" customHeight="1">
      <x:c r="A258" s="3" t="str">
        <x:v>Y-08</x:v>
      </x:c>
      <x:c r="B258" s="3" t="str">
        <x:v>Y Technik und Bedienbarkeit</x:v>
      </x:c>
      <x:c r="C258" s="3" t="str">
        <x:v>Barrierearme Bedienung</x:v>
      </x:c>
      <x:c r="D258" s="3" t="str">
        <x:v>Tastatur, Fokus, Beschriftung, Fehlerhinweis, Vergrößerung</x:v>
      </x:c>
      <x:c r="E258" s="3" t="str">
        <x:v>Aufgabe lässt sich ohne Maus und ohne abgeschnittene Pflichtfelder bearbeiten.</x:v>
      </x:c>
      <x:c r="F258" s="3" t="str">
        <x:v>Y-P03</x:v>
      </x:c>
      <x:c r="G258" s="3" t="str">
        <x:v>A-03, A-04</x:v>
      </x:c>
      <x:c r="H258" s="5" t="str">
        <x:v>Bestand zu prüfen</x:v>
      </x:c>
      <x:c r="I258" s="5" t="str">
        <x:v>Offen</x:v>
      </x:c>
      <x:c r="J258" s="5" t="str">
        <x:v>Offen</x:v>
      </x:c>
      <x:c r="K258" s="5" t="str">
        <x:v>Offen</x:v>
      </x:c>
      <x:c r="L258" s="5" t="str">
        <x:v>Offen</x:v>
      </x:c>
      <x:c r="M258" s="5" t="str"/>
      <x:c r="N258" s="3" t="str">
        <x:f>IF(AND(H258="Umgesetzt",I258="Bestanden",OR(J258="Bestanden",J258="Entfällt geprüft"),OR(K258="Bestanden",K258="Entfällt geprüft"),OR(L258="Bestanden",L258="Entfällt geprüft"),M258&lt;&gt;""),"Abgenommen","Offen")</x:f>
        <x:v>Offen</x:v>
      </x:c>
      <x:c r="O258" s="3" t="str">
        <x:v>Bestehenden Ablauf für „Barrierearme Bedienung“ prüfen. Fehlende Datenfelder und Einzelfälle ergänzen, anschließend den genannten Abnahmefall nachweisen.</x:v>
      </x:c>
    </x:row>
    <x:row r="259" ht="155" customHeight="1">
      <x:c r="A259" s="3" t="str">
        <x:v>Y-09</x:v>
      </x:c>
      <x:c r="B259" s="3" t="str">
        <x:v>Y Technik und Bedienbarkeit</x:v>
      </x:c>
      <x:c r="C259" s="3" t="str">
        <x:v>Performance und vollständige Listen</x:v>
      </x:c>
      <x:c r="D259" s="3" t="str">
        <x:v>Datenmenge, Pagination, Antwortzeit, Suche, Filter</x:v>
      </x:c>
      <x:c r="E259" s="3" t="str">
        <x:v>Große Akten führen weder zu fehlenden Einträgen noch unbedienbaren Seiten.</x:v>
      </x:c>
      <x:c r="F259" s="3" t="str">
        <x:v>Y-P03</x:v>
      </x:c>
      <x:c r="G259" s="3" t="str">
        <x:v>A-03, A-04</x:v>
      </x:c>
      <x:c r="H259" s="5" t="str">
        <x:v>Teilweise umgesetzt</x:v>
      </x:c>
      <x:c r="I259" s="5" t="str">
        <x:v>Teilprüfung</x:v>
      </x:c>
      <x:c r="J259" s="5" t="str">
        <x:v>Offen</x:v>
      </x:c>
      <x:c r="K259" s="5" t="str">
        <x:v>Offen</x:v>
      </x:c>
      <x:c r="L259" s="5" t="str">
        <x:v>Offen</x:v>
      </x:c>
      <x:c r="M259" s="5" t="str">
        <x:v>Checkpoint 20: 442 lokale Domänen-/Gatewayfälle bestanden, davon 55 neue strukturierte Behandlungspflegefälle. Vollständige Quellenseiten, Originalkonflikte, geschützter Quellenverlauf und identische Anfragewiederholung ergänzt. Echte SQL-/RLS-/Browser-/Gesamt-Typecheckprüfung fehlt.</x:v>
      </x:c>
      <x:c r="N259" s="3" t="str">
        <x:f>IF(AND(H259="Umgesetzt",I259="Bestanden",OR(J259="Bestanden",J259="Entfällt geprüft"),OR(K259="Bestanden",K259="Entfällt geprüft"),OR(L259="Bestanden",L259="Entfällt geprüft"),M259&lt;&gt;""),"Abgenommen","Offen")</x:f>
        <x:v>Offen</x:v>
      </x:c>
      <x:c r="O259" s="3" t="str">
        <x:v>Datenbank-/RLS-/Parallelitäts-/Rollback-/Replayfälle und breite/schmale Webbedienung tatsächlich prüfen. Große Akten, Quellenänderungen, Altwriter/native Reader, Aufbewahrung und Wiederaufnahme nach erzwungenem Reload prüfen. Fach-/Rechtsabnahme offen.</x:v>
      </x:c>
    </x:row>
    <x:row r="260" ht="44" customHeight="1">
      <x:c r="A260" s="3" t="str">
        <x:v>Y-10</x:v>
      </x:c>
      <x:c r="B260" s="3" t="str">
        <x:v>Y Technik und Bedienbarkeit</x:v>
      </x:c>
      <x:c r="C260" s="3" t="str">
        <x:v>Release und Betriebsprüfung</x:v>
      </x:c>
      <x:c r="D260" s="3" t="str">
        <x:v>Tests, Fachabnahme, Rechtsprüfung, Rückfallplan, Freigabe</x:v>
      </x:c>
      <x:c r="E260" s="3" t="str">
        <x:v>Push und Deployment bleiben bis erfüllter konkreter Abnahme gesperrt.</x:v>
      </x:c>
      <x:c r="F260" s="3" t="str">
        <x:v>Y-P04</x:v>
      </x:c>
      <x:c r="G260" s="3" t="str">
        <x:v>A-03, A-04</x:v>
      </x:c>
      <x:c r="H260" s="5" t="str">
        <x:v>Bestand zu prüfen</x:v>
      </x:c>
      <x:c r="I260" s="5" t="str">
        <x:v>Offen</x:v>
      </x:c>
      <x:c r="J260" s="5" t="str">
        <x:v>Offen</x:v>
      </x:c>
      <x:c r="K260" s="5" t="str">
        <x:v>Offen</x:v>
      </x:c>
      <x:c r="L260" s="5" t="str">
        <x:v>Offen</x:v>
      </x:c>
      <x:c r="M260" s="5" t="str"/>
      <x:c r="N260" s="3" t="str">
        <x:f>IF(AND(H260="Umgesetzt",I260="Bestanden",OR(J260="Bestanden",J260="Entfällt geprüft"),OR(K260="Bestanden",K260="Entfällt geprüft"),OR(L260="Bestanden",L260="Entfällt geprüft"),M260&lt;&gt;""),"Abgenommen","Offen")</x:f>
        <x:v>Offen</x:v>
      </x:c>
      <x:c r="O260" s="3" t="str">
        <x:v>Bestehenden Ablauf für „Release und Betriebsprüfung“ prüfen. Fehlende Datenfelder und Einzelfälle ergänzen, anschließend den genannten Abnahmefall nachweisen.</x:v>
      </x:c>
    </x:row>
    <x:row r="261" ht="155" customHeight="1">
      <x:c r="A261" s="3" t="str">
        <x:v>Y-11</x:v>
      </x:c>
      <x:c r="B261" s="3" t="str">
        <x:v>Y Technik und Bedienbarkeit</x:v>
      </x:c>
      <x:c r="C261" s="3" t="str">
        <x:v>Absturz und Sitzungsabbruch</x:v>
      </x:c>
      <x:c r="D261" s="3" t="str">
        <x:v>Prüfstand, gesicherte Änderung, Wiederaufnahme, offene Restarbeit</x:v>
      </x:c>
      <x:c r="E261" s="3" t="str">
        <x:v>Wiederaufnahme beginnt anhand gesicherter ID und belegt wiederhergestellten Stand.</x:v>
      </x:c>
      <x:c r="F261" s="3" t="str">
        <x:v>Y-P04</x:v>
      </x:c>
      <x:c r="G261" s="3" t="str">
        <x:v>A-03, A-04</x:v>
      </x:c>
      <x:c r="H261" s="5" t="str">
        <x:v>Teilweise umgesetzt</x:v>
      </x:c>
      <x:c r="I261" s="5" t="str">
        <x:v>Teilprüfung</x:v>
      </x:c>
      <x:c r="J261" s="5" t="str">
        <x:v>Offen</x:v>
      </x:c>
      <x:c r="K261" s="5" t="str">
        <x:v>Offen</x:v>
      </x:c>
      <x:c r="L261" s="5" t="str">
        <x:v>Offen</x:v>
      </x:c>
      <x:c r="M261" s="5" t="str">
        <x:v>Checkpoint 12: Web-Assessment-Schreibanfrage serialisiert und bei unklarem Ergebnis eingefroren; lokaler SQL-Entwurf mit Anfragebeleg, technischem Änderungsstand, Eltern-/Kind-Sperren und gesperrtem alten ambulanten Statuspfad. Vollständige Kindlisten mit Standprüfung. 12 neue Domänen-/Gatewayfälle, insgesamt 153 bestanden. Keine echte SQL-/RLS-/React-/SDK-/Browserabnahme.</x:v>
      </x:c>
      <x:c r="N261" s="3" t="str">
        <x:f>IF(AND(H261="Umgesetzt",I261="Bestanden",OR(J261="Bestanden",J261="Entfällt geprüft"),OR(K261="Bestanden",K261="Entfällt geprüft"),OR(L261="Bestanden",L261="Entfällt geprüft"),M261&lt;&gt;""),"Abgenommen","Offen")</x:f>
        <x:v>Offen</x:v>
      </x:c>
      <x:c r="O261" s="3" t="str">
        <x:v>Neue SQL-Funktionen, Rechte, Trigger und Parallelität tatsächlich prüfen; Web breit/schmal und Gesamt-Typecheck nachweisen. Erstellung, Rückgabe/Fortschreibung, Evaluation und Wiederaufnahme nach erzwungenem Reload ergänzen. Fach-/Rechtsabnahme bleibt offen.</x:v>
      </x:c>
    </x:row>
    <x:row r="262" ht="44" customHeight="1">
      <x:c r="A262" s="3" t="str">
        <x:v>Y-12</x:v>
      </x:c>
      <x:c r="B262" s="3" t="str">
        <x:v>Y Technik und Bedienbarkeit</x:v>
      </x:c>
      <x:c r="C262" s="3" t="str">
        <x:v>Android-Kompatibilität erhalten</x:v>
      </x:c>
      <x:c r="D262" s="3" t="str">
        <x:v>Bestehende App, API-Vertrag, Leserechte, Schreibwege, Regression</x:v>
      </x:c>
      <x:c r="E262" s="3" t="str">
        <x:v>Webänderung oder Datenbankpatch beschädigt keine vorhandene Android-Funktion.</x:v>
      </x:c>
      <x:c r="F262" s="3" t="str">
        <x:v>Y-P04</x:v>
      </x:c>
      <x:c r="G262" s="3" t="str">
        <x:v>A-03, A-04</x:v>
      </x:c>
      <x:c r="H262" s="5" t="str">
        <x:v>Bestand zu prüfen</x:v>
      </x:c>
      <x:c r="I262" s="5" t="str">
        <x:v>Offen</x:v>
      </x:c>
      <x:c r="J262" s="5" t="str">
        <x:v>Offen</x:v>
      </x:c>
      <x:c r="K262" s="5" t="str">
        <x:v>Offen</x:v>
      </x:c>
      <x:c r="L262" s="5" t="str">
        <x:v>Offen</x:v>
      </x:c>
      <x:c r="M262" s="5" t="str"/>
      <x:c r="N262" s="3" t="str">
        <x:f>IF(AND(H262="Umgesetzt",I262="Bestanden",OR(J262="Bestanden",J262="Entfällt geprüft"),OR(K262="Bestanden",K262="Entfällt geprüft"),OR(L262="Bestanden",L262="Entfällt geprüft"),M262&lt;&gt;""),"Abgenommen","Offen")</x:f>
        <x:v>Offen</x:v>
      </x:c>
      <x:c r="O262" s="3" t="str">
        <x:v>Bestehenden Ablauf für „Android-Kompatibilität erhalten“ prüfen. Fehlende Datenfelder und Einzelfälle ergänzen, anschließend den genannten Abnahmefall nachweisen.</x:v>
      </x:c>
    </x:row>
    <x:row r="263" ht="44" customHeight="1">
      <x:c r="A263" s="3" t="str">
        <x:v>Z-01</x:v>
      </x:c>
      <x:c r="B263" s="3" t="str">
        <x:v>Z Innovation und Entlastung</x:v>
      </x:c>
      <x:c r="C263" s="3" t="str">
        <x:v>Sprachentwurf</x:v>
      </x:c>
      <x:c r="D263" s="3" t="str">
        <x:v>Aufnahmefreigabe, Transkript, Personenzuordnung, Prüfung, Speicherung</x:v>
      </x:c>
      <x:c r="E263" s="3" t="str">
        <x:v>Spracheingabe wird vor verbindlicher Dokumentation fachlich bestätigt.</x:v>
      </x:c>
      <x:c r="F263" s="3" t="str">
        <x:v>Z-P01</x:v>
      </x:c>
      <x:c r="G263" s="3" t="str">
        <x:v>Jeweils zugehöriger bestätigter Fachablauf</x:v>
      </x:c>
      <x:c r="H263" s="5" t="str">
        <x:v>Bestand zu prüfen</x:v>
      </x:c>
      <x:c r="I263" s="5" t="str">
        <x:v>Offen</x:v>
      </x:c>
      <x:c r="J263" s="5" t="str">
        <x:v>Offen</x:v>
      </x:c>
      <x:c r="K263" s="5" t="str">
        <x:v>Offen</x:v>
      </x:c>
      <x:c r="L263" s="5" t="str">
        <x:v>Offen</x:v>
      </x:c>
      <x:c r="M263" s="5" t="str"/>
      <x:c r="N263" s="3" t="str">
        <x:f>IF(AND(H263="Umgesetzt",I263="Bestanden",OR(J263="Bestanden",J263="Entfällt geprüft"),OR(K263="Bestanden",K263="Entfällt geprüft"),OR(L263="Bestanden",L263="Entfällt geprüft"),M263&lt;&gt;""),"Abgenommen","Offen")</x:f>
        <x:v>Offen</x:v>
      </x:c>
      <x:c r="O263" s="3" t="str">
        <x:v>Bestehenden Ablauf für „Sprachentwurf“ prüfen. Fehlende Datenfelder und Einzelfälle ergänzen, anschließend den genannten Abnahmefall nachweisen.</x:v>
      </x:c>
    </x:row>
    <x:row r="264" ht="44" customHeight="1">
      <x:c r="A264" s="3" t="str">
        <x:v>Z-02</x:v>
      </x:c>
      <x:c r="B264" s="3" t="str">
        <x:v>Z Innovation und Entlastung</x:v>
      </x:c>
      <x:c r="C264" s="3" t="str">
        <x:v>Dokumentationsassistenz</x:v>
      </x:c>
      <x:c r="D264" s="3" t="str">
        <x:v>Quellbezug, Vorschlag, Änderungen, Freigabe, Verantwortliche</x:v>
      </x:c>
      <x:c r="E264" s="3" t="str">
        <x:v>Assistenz erfindet keine durchgeführte Pflegehandlung.</x:v>
      </x:c>
      <x:c r="F264" s="3" t="str">
        <x:v>Z-P01</x:v>
      </x:c>
      <x:c r="G264" s="3" t="str">
        <x:v>Jeweils zugehöriger bestätigter Fachablauf</x:v>
      </x:c>
      <x:c r="H264" s="5" t="str">
        <x:v>Bestand zu prüfen</x:v>
      </x:c>
      <x:c r="I264" s="5" t="str">
        <x:v>Offen</x:v>
      </x:c>
      <x:c r="J264" s="5" t="str">
        <x:v>Offen</x:v>
      </x:c>
      <x:c r="K264" s="5" t="str">
        <x:v>Offen</x:v>
      </x:c>
      <x:c r="L264" s="5" t="str">
        <x:v>Offen</x:v>
      </x:c>
      <x:c r="M264" s="5" t="str"/>
      <x:c r="N264" s="3" t="str">
        <x:f>IF(AND(H264="Umgesetzt",I264="Bestanden",OR(J264="Bestanden",J264="Entfällt geprüft"),OR(K264="Bestanden",K264="Entfällt geprüft"),OR(L264="Bestanden",L264="Entfällt geprüft"),M264&lt;&gt;""),"Abgenommen","Offen")</x:f>
        <x:v>Offen</x:v>
      </x:c>
      <x:c r="O264" s="3" t="str">
        <x:v>Bestehenden Ablauf für „Dokumentationsassistenz“ prüfen. Fehlende Datenfelder und Einzelfälle ergänzen, anschließend den genannten Abnahmefall nachweisen.</x:v>
      </x:c>
    </x:row>
    <x:row r="265" ht="44" customHeight="1">
      <x:c r="A265" s="3" t="str">
        <x:v>Z-03</x:v>
      </x:c>
      <x:c r="B265" s="3" t="str">
        <x:v>Z Innovation und Entlastung</x:v>
      </x:c>
      <x:c r="C265" s="3" t="str">
        <x:v>Widerspruchserkennung</x:v>
      </x:c>
      <x:c r="D265" s="3" t="str">
        <x:v>Verordnung, Gabe, Messung, Zeitpunkt, nachvollziehbarer Hinweis</x:v>
      </x:c>
      <x:c r="E265" s="3" t="str">
        <x:v>Hinweis zeigt konkrete widersprüchliche Daten und kann begründet geklärt werden.</x:v>
      </x:c>
      <x:c r="F265" s="3" t="str">
        <x:v>Z-P01</x:v>
      </x:c>
      <x:c r="G265" s="3" t="str">
        <x:v>Jeweils zugehöriger bestätigter Fachablauf</x:v>
      </x:c>
      <x:c r="H265" s="5" t="str">
        <x:v>Bestand zu prüfen</x:v>
      </x:c>
      <x:c r="I265" s="5" t="str">
        <x:v>Offen</x:v>
      </x:c>
      <x:c r="J265" s="5" t="str">
        <x:v>Offen</x:v>
      </x:c>
      <x:c r="K265" s="5" t="str">
        <x:v>Offen</x:v>
      </x:c>
      <x:c r="L265" s="5" t="str">
        <x:v>Offen</x:v>
      </x:c>
      <x:c r="M265" s="5" t="str"/>
      <x:c r="N265" s="3" t="str">
        <x:f>IF(AND(H265="Umgesetzt",I265="Bestanden",OR(J265="Bestanden",J265="Entfällt geprüft"),OR(K265="Bestanden",K265="Entfällt geprüft"),OR(L265="Bestanden",L265="Entfällt geprüft"),M265&lt;&gt;""),"Abgenommen","Offen")</x:f>
        <x:v>Offen</x:v>
      </x:c>
      <x:c r="O265" s="3" t="str">
        <x:v>Bestehenden Ablauf für „Widerspruchserkennung“ prüfen. Fehlende Datenfelder und Einzelfälle ergänzen, anschließend den genannten Abnahmefall nachweisen.</x:v>
      </x:c>
    </x:row>
    <x:row r="266" ht="155" customHeight="1">
      <x:c r="A266" s="3" t="str">
        <x:v>Z-04</x:v>
      </x:c>
      <x:c r="B266" s="3" t="str">
        <x:v>Z Innovation und Entlastung</x:v>
      </x:c>
      <x:c r="C266" s="3" t="str">
        <x:v>Aufgaben bündeln</x:v>
      </x:c>
      <x:c r="D266" s="3" t="str">
        <x:v>Risiko, Frist, Zuständigkeit, Abhängigkeit, Arbeitskontext</x:v>
      </x:c>
      <x:c r="E266" s="3" t="str">
        <x:v>Bündelung verschluckt keine Einzelaufgabe und keine Eskalation.</x:v>
      </x:c>
      <x:c r="F266" s="3" t="str">
        <x:v>Z-P02</x:v>
      </x:c>
      <x:c r="G266" s="3" t="str">
        <x:v>Jeweils zugehöriger bestätigter Fachablauf</x:v>
      </x:c>
      <x:c r="H266" s="5" t="str">
        <x:v>Teilweise umgesetzt</x:v>
      </x:c>
      <x:c r="I266" s="5" t="str">
        <x:v>Teilprüfung</x:v>
      </x:c>
      <x:c r="J266" s="5" t="str">
        <x:v>Offen</x:v>
      </x:c>
      <x:c r="K266" s="5" t="str">
        <x:v>Offen</x:v>
      </x:c>
      <x:c r="L266" s="5" t="str">
        <x:v>Offen</x:v>
      </x:c>
      <x:c r="M266" s="5" t="str">
        <x:v>CP26: Persönliche Erinnerungen je Auftrag/Fassung/Person/Kontakt; Vertretung und einzelne Rückmeldungen bleiben getrennt. Fehlerhafter Bestand zeigt keinen Teil-Erfolg. 966/966 Fälle; breite/schmale Web- und Gesamtprüfung offen.</x:v>
      </x:c>
      <x:c r="N266" s="3" t="str">
        <x:f>IF(AND(H266="Umgesetzt",I266="Bestanden",OR(J266="Bestanden",J266="Entfällt geprüft"),OR(K266="Bestanden",K266="Entfällt geprüft"),OR(L266="Bestanden",L266="Entfällt geprüft"),M266&lt;&gt;""),"Abgenommen","Offen")</x:f>
        <x:v>Offen</x:v>
      </x:c>
      <x:c r="O266" s="3" t="str">
        <x:v>Erinnerungsübersicht mit langen Angaben, vielen Einzelkontakten und schmalem Fenster prüfen. Rechteentzug und Aktualisierung nachweisen; technische Zustellung niemals als pflegerische Kenntnisnahme werten.</x:v>
      </x:c>
    </x:row>
    <x:row r="267" ht="44" customHeight="1">
      <x:c r="A267" s="3" t="str">
        <x:v>Z-05</x:v>
      </x:c>
      <x:c r="B267" s="3" t="str">
        <x:v>Z Innovation und Entlastung</x:v>
      </x:c>
      <x:c r="C267" s="3" t="str">
        <x:v>Tourenvorschläge</x:v>
      </x:c>
      <x:c r="D267" s="3" t="str">
        <x:v>Zeitfenster, Qualifikation, Bezugspflege, Fahrt, erklärbarer Vorschlag</x:v>
      </x:c>
      <x:c r="E267" s="3" t="str">
        <x:v>Plan wird erst nach Prüfung bewusst übernommen.</x:v>
      </x:c>
      <x:c r="F267" s="3" t="str">
        <x:v>Z-P02</x:v>
      </x:c>
      <x:c r="G267" s="3" t="str">
        <x:v>Jeweils zugehöriger bestätigter Fachablauf</x:v>
      </x:c>
      <x:c r="H267" s="5" t="str">
        <x:v>Bestand zu prüfen</x:v>
      </x:c>
      <x:c r="I267" s="5" t="str">
        <x:v>Offen</x:v>
      </x:c>
      <x:c r="J267" s="5" t="str">
        <x:v>Offen</x:v>
      </x:c>
      <x:c r="K267" s="5" t="str">
        <x:v>Offen</x:v>
      </x:c>
      <x:c r="L267" s="5" t="str">
        <x:v>Offen</x:v>
      </x:c>
      <x:c r="M267" s="5" t="str"/>
      <x:c r="N267" s="3" t="str">
        <x:f>IF(AND(H267="Umgesetzt",I267="Bestanden",OR(J267="Bestanden",J267="Entfällt geprüft"),OR(K267="Bestanden",K267="Entfällt geprüft"),OR(L267="Bestanden",L267="Entfällt geprüft"),M267&lt;&gt;""),"Abgenommen","Offen")</x:f>
        <x:v>Offen</x:v>
      </x:c>
      <x:c r="O267" s="3" t="str">
        <x:v>Bestehenden Ablauf für „Tourenvorschläge“ prüfen. Fehlende Datenfelder und Einzelfälle ergänzen, anschließend den genannten Abnahmefall nachweisen.</x:v>
      </x:c>
    </x:row>
    <x:row r="268" ht="44" customHeight="1">
      <x:c r="A268" s="3" t="str">
        <x:v>Z-06</x:v>
      </x:c>
      <x:c r="B268" s="3" t="str">
        <x:v>Z Innovation und Entlastung</x:v>
      </x:c>
      <x:c r="C268" s="3" t="str">
        <x:v>Intelligente Verlaufsübersicht</x:v>
      </x:c>
      <x:c r="D268" s="3" t="str">
        <x:v>Bestätigte Daten, Einheiten, Zeitbezug, Zusammenfassung, Quellen</x:v>
      </x:c>
      <x:c r="E268" s="3" t="str">
        <x:v>Zusammenfassung verlinkt Belege und markiert fehlende Daten.</x:v>
      </x:c>
      <x:c r="F268" s="3" t="str">
        <x:v>Z-P02</x:v>
      </x:c>
      <x:c r="G268" s="3" t="str">
        <x:v>Jeweils zugehöriger bestätigter Fachablauf</x:v>
      </x:c>
      <x:c r="H268" s="5" t="str">
        <x:v>Bestand zu prüfen</x:v>
      </x:c>
      <x:c r="I268" s="5" t="str">
        <x:v>Offen</x:v>
      </x:c>
      <x:c r="J268" s="5" t="str">
        <x:v>Offen</x:v>
      </x:c>
      <x:c r="K268" s="5" t="str">
        <x:v>Offen</x:v>
      </x:c>
      <x:c r="L268" s="5" t="str">
        <x:v>Offen</x:v>
      </x:c>
      <x:c r="M268" s="5" t="str"/>
      <x:c r="N268" s="3" t="str">
        <x:f>IF(AND(H268="Umgesetzt",I268="Bestanden",OR(J268="Bestanden",J268="Entfällt geprüft"),OR(K268="Bestanden",K268="Entfällt geprüft"),OR(L268="Bestanden",L268="Entfällt geprüft"),M268&lt;&gt;""),"Abgenommen","Offen")</x:f>
        <x:v>Offen</x:v>
      </x:c>
      <x:c r="O268" s="3" t="str">
        <x:v>Bestehenden Ablauf für „Intelligente Verlaufsübersicht“ prüfen. Fehlende Datenfelder und Einzelfälle ergänzen, anschließend den genannten Abnahmefall nachweisen.</x:v>
      </x:c>
    </x:row>
    <x:row r="269" ht="44" customHeight="1">
      <x:c r="A269" s="3" t="str">
        <x:v>Z-07</x:v>
      </x:c>
      <x:c r="B269" s="3" t="str">
        <x:v>Z Innovation und Entlastung</x:v>
      </x:c>
      <x:c r="C269" s="3" t="str">
        <x:v>Datensparsame Angehörigeninformation</x:v>
      </x:c>
      <x:c r="D269" s="3" t="str">
        <x:v>Freigabeumfang, verständlicher Text, Empfänger, Widerruf</x:v>
      </x:c>
      <x:c r="E269" s="3" t="str">
        <x:v>Automatische Ausgabe enthält ausschließlich erlaubte bestätigte Inhalte.</x:v>
      </x:c>
      <x:c r="F269" s="3" t="str">
        <x:v>Z-P03</x:v>
      </x:c>
      <x:c r="G269" s="3" t="str">
        <x:v>Jeweils zugehöriger bestätigter Fachablauf</x:v>
      </x:c>
      <x:c r="H269" s="5" t="str">
        <x:v>Bestand zu prüfen</x:v>
      </x:c>
      <x:c r="I269" s="5" t="str">
        <x:v>Offen</x:v>
      </x:c>
      <x:c r="J269" s="5" t="str">
        <x:v>Offen</x:v>
      </x:c>
      <x:c r="K269" s="5" t="str">
        <x:v>Offen</x:v>
      </x:c>
      <x:c r="L269" s="5" t="str">
        <x:v>Offen</x:v>
      </x:c>
      <x:c r="M269" s="5" t="str">
        <x:v>CP155: Nur primitive Kontaktangaben aus aktuellem nativem Lesestand; fremde spätere Zeilen sperren die ganze Anzeige. Keine Raw-Credentials/AI-Beigaben; Prüfung53/8.</x:v>
      </x:c>
      <x:c r="N269" s="3" t="str">
        <x:f>IF(AND(H269="Umgesetzt",I269="Bestanden",OR(J269="Bestanden",J269="Entfällt geprüft"),OR(K269="Bestanden",K269="Entfällt geprüft"),OR(L269="Bestanden",L269="Entfällt geprüft"),M269&lt;&gt;""),"Abgenommen","Offen")</x:f>
        <x:v>Offen</x:v>
      </x:c>
      <x:c r="O269" s="3" t="str">
        <x:v>Empfänger, erlaubten bestätigten Inhalt, verständliche Ausgabe und Widerruf tatsächlich prüfen. Kontaktansicht ist keine automatische Angehörigeninformation oder Versandfreigabe.</x:v>
      </x:c>
    </x:row>
    <x:row r="270" ht="44" customHeight="1">
      <x:c r="A270" s="3" t="str">
        <x:v>Z-08</x:v>
      </x:c>
      <x:c r="B270" s="3" t="str">
        <x:v>Z Innovation und Entlastung</x:v>
      </x:c>
      <x:c r="C270" s="3" t="str">
        <x:v>Innovationen bewerten</x:v>
      </x:c>
      <x:c r="D270" s="3" t="str">
        <x:v>Ziel, Vergleichsablauf, messbare Entlastung, Fehler, Fachbewertung</x:v>
      </x:c>
      <x:c r="E270" s="3" t="str">
        <x:v>Neue Funktion ist nur nach belegtem Nutzen und Prüfung regulär freigegeben.</x:v>
      </x:c>
      <x:c r="F270" s="3" t="str">
        <x:v>Z-P03</x:v>
      </x:c>
      <x:c r="G270" s="3" t="str">
        <x:v>Jeweils zugehöriger bestätigter Fachablauf</x:v>
      </x:c>
      <x:c r="H270" s="5" t="str">
        <x:v>Bestand zu prüfen</x:v>
      </x:c>
      <x:c r="I270" s="5" t="str">
        <x:v>Offen</x:v>
      </x:c>
      <x:c r="J270" s="5" t="str">
        <x:v>Offen</x:v>
      </x:c>
      <x:c r="K270" s="5" t="str">
        <x:v>Offen</x:v>
      </x:c>
      <x:c r="L270" s="5" t="str">
        <x:v>Offen</x:v>
      </x:c>
      <x:c r="M270" s="5" t="str"/>
      <x:c r="N270" s="3" t="str">
        <x:f>IF(AND(H270="Umgesetzt",I270="Bestanden",OR(J270="Bestanden",J270="Entfällt geprüft"),OR(K270="Bestanden",K270="Entfällt geprüft"),OR(L270="Bestanden",L270="Entfällt geprüft"),M270&lt;&gt;""),"Abgenommen","Offen")</x:f>
        <x:v>Offen</x:v>
      </x:c>
      <x:c r="O270" s="3" t="str">
        <x:v>Bestehenden Ablauf für „Innovationen bewerten“ prüfen. Fehlende Datenfelder und Einzelfälle ergänzen, anschließend den genannten Abnahmefall nachweisen.</x:v>
      </x:c>
    </x:row>
  </x:sheetData>
  <x:conditionalFormatting sqref="N9:N270">
    <x:cfRule type="containsText" dxfId="0" priority="1" operator="containsText" text="Abgenommen"/>
  </x:conditionalFormatting>
  <x:dataValidations count="2">
    <x:dataValidation type="list" sqref="H9:H270">
      <x:formula1>"Bestand zu prüfen,Teilweise umgesetzt,Umgesetzt"</x:formula1>
    </x:dataValidation>
    <x:dataValidation type="list" sqref="I9:L270">
      <x:formula1>"Offen,Teilprüfung,Bestanden,Entfällt geprüft"</x:formula1>
    </x:dataValidation>
  </x:dataValidations>
  <x:pageMargins left="0.7" right="0.7" top="0.75" bottom="0.75" header="0.3" footer="0.3"/>
  <x:tableParts count="1">
    <x:tablePart xmlns:r="http://schemas.openxmlformats.org/officeDocument/2006/relationships" r:id="R7110f2f8a2e242c6"/>
  </x:tableParts>
</x:worksheet>
</file>

<file path=xl/worksheets/sheet2.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15" hidden="0" customWidth="1"/>
    <x:col min="2" max="2" width="35" hidden="0" customWidth="1"/>
    <x:col min="3" max="3" width="29" hidden="0" customWidth="1"/>
    <x:col min="4" max="4" width="57" hidden="0" customWidth="1"/>
    <x:col min="5" max="5" width="31" hidden="0" customWidth="1"/>
    <x:col min="6" max="6" width="28" hidden="0" customWidth="1"/>
    <x:col min="7" max="7" width="67" hidden="0" customWidth="1"/>
    <x:col min="8" max="8" width="75" hidden="0" customWidth="1"/>
  </x:cols>
  <x:sheetData>
    <x:row r="1" ht="24" customHeight="1">
      <x:c r="A1" s="11"/>
      <x:c r="B1" s="11"/>
      <x:c r="C1" s="11"/>
      <x:c r="D1" s="11"/>
      <x:c r="E1" s="11"/>
      <x:c r="F1" s="11"/>
      <x:c r="G1" s="11"/>
      <x:c r="H1" s="11"/>
    </x:row>
    <x:row r="2" ht="30" customHeight="1">
      <x:c r="A2" s="13" t="str">
        <x:v>Kleine Arbeitspakete</x:v>
      </x:c>
      <x:c r="B2" s="11"/>
      <x:c r="C2" s="11"/>
      <x:c r="D2" s="11"/>
      <x:c r="E2" s="11"/>
      <x:c r="F2" s="11"/>
      <x:c r="G2" s="11"/>
      <x:c r="H2" s="11"/>
    </x:row>
    <x:row r="3" ht="24" customHeight="1">
      <x:c r="A3" s="11" t="str">
        <x:v>Je Paket höchstens drei Fachaufgaben. Komplexe Abläufe vor Umsetzung weiter zerlegen.</x:v>
      </x:c>
      <x:c r="B3" s="11"/>
      <x:c r="C3" s="11"/>
      <x:c r="D3" s="11"/>
      <x:c r="E3" s="11"/>
      <x:c r="F3" s="11"/>
      <x:c r="G3" s="11"/>
      <x:c r="H3" s="11"/>
    </x:row>
    <x:row r="4" ht="24" customHeight="1">
      <x:c r="A4" s="11" t="str">
        <x:v>Nächste Reihenfolge: A-P03 und A-P04 → H-P01 bis H-P06 → I-P01 und I-P02. Voraussetzungen der einzelnen Aufgaben vorher prüfen.</x:v>
      </x:c>
      <x:c r="B4" s="11"/>
      <x:c r="C4" s="11"/>
      <x:c r="D4" s="11"/>
      <x:c r="E4" s="11"/>
      <x:c r="F4" s="11"/>
      <x:c r="G4" s="11"/>
      <x:c r="H4" s="11"/>
    </x:row>
    <x:row r="5" ht="24" customHeight="1">
      <x:c r="A5" s="11" t="str">
        <x:v>Vor Medikamenten-Webintegration: wiederhergestellten Bestand und aktuelle Verordnungsgrundlage prüfen. Status „Begonnen“ ist keine Abnahme.</x:v>
      </x:c>
      <x:c r="B5" s="11"/>
      <x:c r="C5" s="11"/>
      <x:c r="D5" s="11"/>
      <x:c r="E5" s="11"/>
      <x:c r="F5" s="11"/>
      <x:c r="G5" s="11"/>
      <x:c r="H5" s="11"/>
    </x:row>
    <x:row r="6" ht="44" customHeight="1">
      <x:c r="A6" s="3"/>
      <x:c r="B6" s="3"/>
      <x:c r="C6" s="3"/>
      <x:c r="D6" s="3"/>
      <x:c r="E6" s="3"/>
      <x:c r="F6" s="3"/>
      <x:c r="G6" s="3"/>
      <x:c r="H6" s="3"/>
    </x:row>
    <x:row r="7" ht="34" customHeight="1">
      <x:c r="A7" s="9" t="str">
        <x:v>Paket</x:v>
      </x:c>
      <x:c r="B7" s="9" t="str">
        <x:v>Bereich</x:v>
      </x:c>
      <x:c r="C7" s="9" t="str">
        <x:v>Aufgaben-IDs</x:v>
      </x:c>
      <x:c r="D7" s="9" t="str">
        <x:v>Arbeitsumfang</x:v>
      </x:c>
      <x:c r="E7" s="9" t="str">
        <x:v>Voraussetzungen</x:v>
      </x:c>
      <x:c r="F7" s="9" t="str">
        <x:v>Status</x:v>
      </x:c>
      <x:c r="G7" s="9" t="str">
        <x:v>Nächste Tätigkeit</x:v>
      </x:c>
      <x:c r="H7" s="9" t="str">
        <x:v>Abschlussbedingung</x:v>
      </x:c>
    </x:row>
    <x:row r="8" ht="44" customHeight="1">
      <x:c r="A8" s="3" t="str">
        <x:v>A-P01</x:v>
      </x:c>
      <x:c r="B8" s="3" t="str">
        <x:v>System und Organisation</x:v>
      </x:c>
      <x:c r="C8" s="3" t="str">
        <x:v>A-01, A-02, A-03</x:v>
      </x:c>
      <x:c r="D8" s="3" t="str">
        <x:v>Mandant einrichten
Standorte verwalten
Rollen und Rechte</x:v>
      </x:c>
      <x:c r="E8" s="3" t="str">
        <x:v>Keine fachliche Voraufgabe</x:v>
      </x:c>
      <x:c r="F8" s="3" t="str">
        <x:v>Teilweise umgesetzt</x:v>
      </x:c>
      <x:c r="G8" s="3" t="str">
        <x:v>CP196: Server-/Profilbestätigung für private Webrechte. Feldrechte, geschützte Rollenvergabe und echte Abnahmen offen.</x:v>
      </x:c>
      <x:c r="H8" s="3" t="str">
        <x:v>Die zugeordneten Einzelaufgaben und einschlägigen G01–G28-Prüfungen nachgewiesen; offene Punkte gesichert.</x:v>
      </x:c>
    </x:row>
    <x:row r="9" ht="44" customHeight="1">
      <x:c r="A9" s="3" t="str">
        <x:v>A-P02</x:v>
      </x:c>
      <x:c r="B9" s="3" t="str">
        <x:v>System und Organisation</x:v>
      </x:c>
      <x:c r="C9" s="3" t="str">
        <x:v>A-04, A-05, A-06</x:v>
      </x:c>
      <x:c r="D9" s="3" t="str">
        <x:v>Berechtigte Anmeldung
Fachkonfiguration
Katalogversionen</x:v>
      </x:c>
      <x:c r="E9" s="3" t="str">
        <x:v>Keine fachliche Voraufgabe</x:v>
      </x:c>
      <x:c r="F9" s="3" t="str">
        <x:v>Teilweise umgesetzt</x:v>
      </x:c>
      <x:c r="G9" s="3" t="str">
        <x:v>CP196: Neues Webrecht nur bei aktivem eigenen Serverprofil. A-04 teilgeprüft; Sitzungs-/Sperrwege, A-05/06 und echte Abnahmen offen.</x:v>
      </x:c>
      <x:c r="H9" s="3" t="str">
        <x:v>Die zugeordneten Einzelaufgaben und einschlägigen G01–G28-Prüfungen nachgewiesen; offene Punkte gesichert.</x:v>
      </x:c>
    </x:row>
    <x:row r="10" ht="44" customHeight="1">
      <x:c r="A10" s="3" t="str">
        <x:v>A-P03</x:v>
      </x:c>
      <x:c r="B10" s="3" t="str">
        <x:v>System und Organisation</x:v>
      </x:c>
      <x:c r="C10" s="3" t="str">
        <x:v>A-07, A-08, A-09</x:v>
      </x:c>
      <x:c r="D10" s="3" t="str">
        <x:v>Organisationswechsel
Arbeitsübersicht
Dauerhafte Arbeitsfortsetzung</x:v>
      </x:c>
      <x:c r="E10" s="3" t="str">
        <x:v>Keine fachliche Voraufgabe</x:v>
      </x:c>
      <x:c r="F10" s="3" t="str">
        <x:v>Teilweise umgesetzt</x:v>
      </x:c>
      <x:c r="G10" s="3" t="str">
        <x:v>CP126: Kontextwechsel entwertet Webrechte und Aktenbelege. A-09 bleibt abgenommen; A-07/08 und reale Übergänge offen.</x:v>
      </x:c>
      <x:c r="H10" s="3" t="str">
        <x:v>Die zugeordneten Einzelaufgaben und einschlägigen G01–G28-Prüfungen nachgewiesen; offene Punkte gesichert.</x:v>
      </x:c>
    </x:row>
    <x:row r="11" ht="44" customHeight="1">
      <x:c r="A11" s="3" t="str">
        <x:v>A-P04</x:v>
      </x:c>
      <x:c r="B11" s="3" t="str">
        <x:v>System und Organisation</x:v>
      </x:c>
      <x:c r="C11" s="3" t="str">
        <x:v>A-10</x:v>
      </x:c>
      <x:c r="D11" s="3" t="str">
        <x:v>Funktionsinventar abgleichen</x:v>
      </x:c>
      <x:c r="E11" s="3" t="str">
        <x:v>Keine fachliche Voraufgabe</x:v>
      </x:c>
      <x:c r="F11" s="3" t="str">
        <x:v>Offen</x:v>
      </x:c>
      <x:c r="G11" s="3" t="str">
        <x:v>Vorhandenen Daten- und UI-Pfad feststellen. Konkrete Restarbeit für jede ID festhalten.</x:v>
      </x:c>
      <x:c r="H11" s="3" t="str">
        <x:v>Die zugeordneten Einzelaufgaben und einschlägigen G01–G28-Prüfungen nachgewiesen; offene Punkte gesichert.</x:v>
      </x:c>
    </x:row>
    <x:row r="12" ht="44" customHeight="1">
      <x:c r="A12" s="3" t="str">
        <x:v>B-P01</x:v>
      </x:c>
      <x:c r="B12" s="3" t="str">
        <x:v>Aufnahme und Stammdaten</x:v>
      </x:c>
      <x:c r="C12" s="3" t="str">
        <x:v>B-01, B-02, B-03</x:v>
      </x:c>
      <x:c r="D12" s="3" t="str">
        <x:v>Anfrage und Erstkontakt
Person eindeutig anlegen
Kontakt und Wohnsituation</x:v>
      </x:c>
      <x:c r="E12" s="3" t="str">
        <x:v>A-03, A-04</x:v>
      </x:c>
      <x:c r="F12" s="3" t="str">
        <x:v>Offen</x:v>
      </x:c>
      <x:c r="G12" s="3" t="str">
        <x:v>Vorhandenen Daten- und UI-Pfad feststellen. Konkrete Restarbeit für jede ID festhalten.</x:v>
      </x:c>
      <x:c r="H12" s="3" t="str">
        <x:v>Die zugeordneten Einzelaufgaben und einschlägigen G01–G28-Prüfungen nachgewiesen; offene Punkte gesichert.</x:v>
      </x:c>
    </x:row>
    <x:row r="13" ht="44" customHeight="1">
      <x:c r="A13" s="3" t="str">
        <x:v>B-P02</x:v>
      </x:c>
      <x:c r="B13" s="3" t="str">
        <x:v>Aufnahme und Stammdaten</x:v>
      </x:c>
      <x:c r="C13" s="3" t="str">
        <x:v>B-04, B-05, B-06</x:v>
      </x:c>
      <x:c r="D13" s="3" t="str">
        <x:v>Vertretung und Angehörige
Ärztliche und weitere Kontakte
Diagnosen und Allergien</x:v>
      </x:c>
      <x:c r="E13" s="3" t="str">
        <x:v>A-03, A-04</x:v>
      </x:c>
      <x:c r="F13" s="3" t="str">
        <x:v>Teilweise umgesetzt</x:v>
      </x:c>
      <x:c r="G13" s="3" t="str">
        <x:v>CP155: Aktuelle native Kontaktansicht mit getrennten Kategorien/Beziehungen/Erreichbarkeit; Portalvermerke sind keine Freigaben. 72 neue Fälle, 6505 Tests. Pflege-/Design-/Rechts-/Portalabnahmen offen. CP176: B-06 ergänzt den gespeicherten eigenen Allergie-/Unverträglichkeitshinweis mit aktuellen privaten Native-/Sensitive-Gates und unveränderten Originalzuständen; Diagnosen, ganze Fachhistorie sowie echte Browser-/RLS-/Pflege-/Design-/Rechtsabnahmen bleiben offen.</x:v>
      </x:c>
      <x:c r="H13" s="3" t="str">
        <x:v>Die zugeordneten Einzelaufgaben und einschlägigen G01–G28-Prüfungen nachgewiesen; offene Punkte gesichert.</x:v>
      </x:c>
    </x:row>
    <x:row r="14" ht="44" customHeight="1">
      <x:c r="A14" s="3" t="str">
        <x:v>B-P03</x:v>
      </x:c>
      <x:c r="B14" s="3" t="str">
        <x:v>Aufnahme und Stammdaten</x:v>
      </x:c>
      <x:c r="C14" s="3" t="str">
        <x:v>B-07, B-08, B-09</x:v>
      </x:c>
      <x:c r="D14" s="3" t="str">
        <x:v>Aufnahme freigeben
Unterbrechung und Austritt
Notfallinformationen</x:v>
      </x:c>
      <x:c r="E14" s="3" t="str">
        <x:v>A-03, A-04</x:v>
      </x:c>
      <x:c r="F14" s="3" t="str">
        <x:v>Teilweise umgesetzt</x:v>
      </x:c>
      <x:c r="G14" s="3" t="str">
        <x:v>CP143: Private Webbindung mit ausdrücklicher Stammdatenwahl; Original-/Unknownbesitz erhalten. Native Schlussphasen nur Inspektion. 155 neue Fälle, 5660 bestanden. Gesamtfreigabe/Layout/Fachabnahmen offen.</x:v>
      </x:c>
      <x:c r="H14" s="3" t="str">
        <x:v>Die zugeordneten Einzelaufgaben und einschlägigen G01–G28-Prüfungen nachgewiesen; offene Punkte gesichert.</x:v>
      </x:c>
    </x:row>
    <x:row r="15" ht="44" customHeight="1">
      <x:c r="A15" s="3" t="str">
        <x:v>B-P04</x:v>
      </x:c>
      <x:c r="B15" s="3" t="str">
        <x:v>Aufnahme und Stammdaten</x:v>
      </x:c>
      <x:c r="C15" s="3" t="str">
        <x:v>B-10</x:v>
      </x:c>
      <x:c r="D15" s="3" t="str">
        <x:v>Dokumente übernehmen</x:v>
      </x:c>
      <x:c r="E15" s="3" t="str">
        <x:v>A-03, A-04</x:v>
      </x:c>
      <x:c r="F15" s="3" t="str">
        <x:v>Offen</x:v>
      </x:c>
      <x:c r="G15" s="3" t="str">
        <x:v>Vorhandenen Daten- und UI-Pfad feststellen. Konkrete Restarbeit für jede ID festhalten.</x:v>
      </x:c>
      <x:c r="H15" s="3" t="str">
        <x:v>Die zugeordneten Einzelaufgaben und einschlägigen G01–G28-Prüfungen nachgewiesen; offene Punkte gesichert.</x:v>
      </x:c>
    </x:row>
    <x:row r="16" ht="44" customHeight="1">
      <x:c r="A16" s="3" t="str">
        <x:v>C-P01</x:v>
      </x:c>
      <x:c r="B16" s="3" t="str">
        <x:v>SIS und Assessments</x:v>
      </x:c>
      <x:c r="C16" s="3" t="str">
        <x:v>C-01, C-02, C-03</x:v>
      </x:c>
      <x:c r="D16" s="3" t="str">
        <x:v>Dokumentationsmodell festlegen
Personenperspektive
Kognition und Kommunikation</x:v>
      </x:c>
      <x:c r="E16" s="3" t="str">
        <x:v>B-02, B-06</x:v>
      </x:c>
      <x:c r="F16" s="3" t="str">
        <x:v>Teilweise umgesetzt</x:v>
      </x:c>
      <x:c r="G16" s="3" t="str">
        <x:v>Checkpoint 11 lokal implementiert und domänenseitig geprüft; Einzelkriterien, Fach-/Design-/Rechtsprüfung und Laufzeitnachweise bleiben offen.</x:v>
      </x:c>
      <x:c r="H16" s="3" t="str">
        <x:v>Die zugeordneten Einzelaufgaben und einschlägigen G01–G28-Prüfungen nachgewiesen; offene Punkte gesichert.</x:v>
      </x:c>
    </x:row>
    <x:row r="17" ht="44" customHeight="1">
      <x:c r="A17" s="3" t="str">
        <x:v>C-P02</x:v>
      </x:c>
      <x:c r="B17" s="3" t="str">
        <x:v>SIS und Assessments</x:v>
      </x:c>
      <x:c r="C17" s="3" t="str">
        <x:v>C-04, C-05, C-06</x:v>
      </x:c>
      <x:c r="D17" s="3" t="str">
        <x:v>Mobilität und Bewegung
Krankheitsbezogene Anforderungen
Selbstversorgung und Haushalt</x:v>
      </x:c>
      <x:c r="E17" s="3" t="str">
        <x:v>B-02, B-06</x:v>
      </x:c>
      <x:c r="F17" s="3" t="str">
        <x:v>Teilweise umgesetzt</x:v>
      </x:c>
      <x:c r="G17" s="3" t="str">
        <x:v>Checkpoint 11 lokal implementiert und domänenseitig geprüft; Einzelkriterien, Fach-/Design-/Rechtsprüfung und Laufzeitnachweise bleiben offen.</x:v>
      </x:c>
      <x:c r="H17" s="3" t="str">
        <x:v>Die zugeordneten Einzelaufgaben und einschlägigen G01–G28-Prüfungen nachgewiesen; offene Punkte gesichert.</x:v>
      </x:c>
    </x:row>
    <x:row r="18" ht="44" customHeight="1">
      <x:c r="A18" s="3" t="str">
        <x:v>C-P03</x:v>
      </x:c>
      <x:c r="B18" s="3" t="str">
        <x:v>SIS und Assessments</x:v>
      </x:c>
      <x:c r="C18" s="3" t="str">
        <x:v>C-07, C-08, C-09</x:v>
      </x:c>
      <x:c r="D18" s="3" t="str">
        <x:v>Soziale Beziehungen und Alltag
Risikomatrix und Vertiefung
Assessmentinstrumente verwalten</x:v>
      </x:c>
      <x:c r="E18" s="3" t="str">
        <x:v>B-02, B-06</x:v>
      </x:c>
      <x:c r="F18" s="3" t="str">
        <x:v>Begonnen mit Teilprüfung</x:v>
      </x:c>
      <x:c r="G18" s="3" t="str">
        <x:v>CP30: strukturiertes eigenes Kontinenzprofil, Ressourcen/Tagesgewohnheiten, ausdrückliche Maßnahmenbezüge und aktueller Evaluationskontext. 1392/1392 lokale Fälle. Gesamt-Tagesplan, historische Evaluationsbezüge und native Server-/Web-/Fach-/Rechtsabnahmen offen.</x:v>
      </x:c>
      <x:c r="H18" s="3" t="str">
        <x:v>Die zugeordneten Einzelaufgaben und einschlägigen G01–G28-Prüfungen nachgewiesen; offene Punkte gesichert.</x:v>
      </x:c>
    </x:row>
    <x:row r="19" ht="44" customHeight="1">
      <x:c r="A19" s="3" t="str">
        <x:v>C-P04</x:v>
      </x:c>
      <x:c r="B19" s="3" t="str">
        <x:v>SIS und Assessments</x:v>
      </x:c>
      <x:c r="C19" s="3" t="str">
        <x:v>C-10</x:v>
      </x:c>
      <x:c r="D19" s="3" t="str">
        <x:v>Assessment erneut durchführen</x:v>
      </x:c>
      <x:c r="E19" s="3" t="str">
        <x:v>B-02, B-06</x:v>
      </x:c>
      <x:c r="F19" s="3" t="str">
        <x:v>Teilweise umgesetzt</x:v>
      </x:c>
      <x:c r="G19" s="3" t="str">
        <x:v>Checkpoint 13: Assessment-Erstellung und begründete Rückgabe lokal ergänzt; echte Laufzeit-/Fachabnahme und weitere Einzelkriterien offen.</x:v>
      </x:c>
      <x:c r="H19" s="3" t="str">
        <x:v>Die zugeordneten Einzelaufgaben und einschlägigen G01–G28-Prüfungen nachgewiesen; offene Punkte gesichert.</x:v>
      </x:c>
    </x:row>
    <x:row r="20" ht="44" customHeight="1">
      <x:c r="A20" s="3" t="str">
        <x:v>D-P01</x:v>
      </x:c>
      <x:c r="B20" s="3" t="str">
        <x:v>Pflegeplanung und Evaluation</x:v>
      </x:c>
      <x:c r="C20" s="3" t="str">
        <x:v>D-01, D-02, D-03</x:v>
      </x:c>
      <x:c r="D20" s="3" t="str">
        <x:v>Individuelle Pflegeziele
Maßnahme konkret planen
Tagesstruktur und Gewohnheiten</x:v>
      </x:c>
      <x:c r="E20" s="3" t="str">
        <x:v>C-02 bis C-08</x:v>
      </x:c>
      <x:c r="F20" s="3" t="str">
        <x:v>Begonnen mit Teilprüfung</x:v>
      </x:c>
      <x:c r="G20" s="3" t="str">
        <x:v>CP34: Einzelbewertungen mit historischem Ziel/Kriterium, eigener Herkunft/Beobachtung und begründeter Folgeentscheidung. Formular, Verlauf und Auftragsabschluss verbunden; Alteinträge/Retry erhalten. 1743/1743 lokale Fälle. Native Server-/Web-/Fach-/Rechtsabnahmen und individuelle Folgeaufträge offen.</x:v>
      </x:c>
      <x:c r="H20" s="3" t="str">
        <x:v>Die zugeordneten Einzelaufgaben und einschlägigen G01–G28-Prüfungen nachgewiesen; offene Punkte gesichert.</x:v>
      </x:c>
    </x:row>
    <x:row r="21" ht="44" customHeight="1">
      <x:c r="A21" s="3" t="str">
        <x:v>D-P02</x:v>
      </x:c>
      <x:c r="B21" s="3" t="str">
        <x:v>Pflegeplanung und Evaluation</x:v>
      </x:c>
      <x:c r="C21" s="3" t="str">
        <x:v>D-04, D-05, D-06</x:v>
      </x:c>
      <x:c r="D21" s="3" t="str">
        <x:v>Ressourcenorientierte Unterstützung
Planversion freigeben
Anlassbezogene Anpassung</x:v>
      </x:c>
      <x:c r="E21" s="3" t="str">
        <x:v>C-02 bis C-08</x:v>
      </x:c>
      <x:c r="F21" s="3" t="str">
        <x:v>CP76–99: Native Originale und eigenständige Ausgaben geschützt. 317 neue Tests; 2678 bestanden.</x:v>
      </x:c>
      <x:c r="G21" s="3" t="str">
        <x:v>Mikrosekunden und ungewisse Medikationsanfragen sichern. Echte Abnahmen offen.</x:v>
      </x:c>
      <x:c r="H21" s="3" t="str">
        <x:v>Die zugeordneten Einzelaufgaben und einschlägigen G01–G28-Prüfungen nachgewiesen; offene Punkte gesichert.</x:v>
      </x:c>
    </x:row>
    <x:row r="22" ht="44" customHeight="1">
      <x:c r="A22" s="3" t="str">
        <x:v>D-P03</x:v>
      </x:c>
      <x:c r="B22" s="3" t="str">
        <x:v>Pflegeplanung und Evaluation</x:v>
      </x:c>
      <x:c r="C22" s="3" t="str">
        <x:v>D-07, D-08</x:v>
      </x:c>
      <x:c r="D22" s="3" t="str">
        <x:v>Regelmäßige Evaluation
Pflegevisite mit Rückkopplung</x:v>
      </x:c>
      <x:c r="E22" s="3" t="str">
        <x:v>C-02 bis C-08</x:v>
      </x:c>
      <x:c r="F22" s="3" t="str">
        <x:v>CP76–99: Native Originale und eigenständige Ausgaben geschützt. 317 neue Tests; 2678 bestanden.</x:v>
      </x:c>
      <x:c r="G22" s="3" t="str">
        <x:v>Mikrosekunden und ungewisse Medikationsanfragen sichern. Echte Abnahmen offen.</x:v>
      </x:c>
      <x:c r="H22" s="3" t="str">
        <x:v>Die zugeordneten Einzelaufgaben und einschlägigen G01–G28-Prüfungen nachgewiesen; offene Punkte gesichert.</x:v>
      </x:c>
    </x:row>
    <x:row r="23" ht="44" customHeight="1">
      <x:c r="A23" s="3" t="str">
        <x:v>E-P01</x:v>
      </x:c>
      <x:c r="B23" s="3" t="str">
        <x:v>Dokumentation und Protokolle</x:v>
      </x:c>
      <x:c r="C23" s="3" t="str">
        <x:v>E-01, E-02, E-03</x:v>
      </x:c>
      <x:c r="D23" s="3" t="str">
        <x:v>Pflegebericht erstellen
Geplante Leistung dokumentieren
Korrektur und Nachtrag</x:v>
      </x:c>
      <x:c r="E23" s="3" t="str">
        <x:v>B-02, A-03</x:v>
      </x:c>
      <x:c r="F23" s="3" t="str">
        <x:v>Teilweise umgesetzt</x:v>
      </x:c>
      <x:c r="G23" s="3" t="str">
        <x:v>CP133: Live-Rechte und eigene Originalanfragen lokal geprüft; echte Fach-/SDK-/Webabnahmen offen.</x:v>
      </x:c>
      <x:c r="H23" s="3" t="str">
        <x:v>Die zugeordneten Einzelaufgaben und einschlägigen G01–G28-Prüfungen nachgewiesen; offene Punkte gesichert.</x:v>
      </x:c>
    </x:row>
    <x:row r="24" ht="44" customHeight="1">
      <x:c r="A24" s="3" t="str">
        <x:v>E-P02</x:v>
      </x:c>
      <x:c r="B24" s="3" t="str">
        <x:v>Dokumentation und Protokolle</x:v>
      </x:c>
      <x:c r="C24" s="3" t="str">
        <x:v>E-04, E-05, E-06</x:v>
      </x:c>
      <x:c r="D24" s="3" t="str">
        <x:v>Ablehnung durch Klienten
Besondere Vorkommnisse
Strukturierte Protokolle</x:v>
      </x:c>
      <x:c r="E24" s="3" t="str">
        <x:v>B-02, A-03</x:v>
      </x:c>
      <x:c r="F24" s="3" t="str">
        <x:v>Begonnen mit Teilprüfung</x:v>
      </x:c>
      <x:c r="G24" s="3" t="str">
        <x:v>CP29: Miktion, weitere Ausfuhr und dokumentierter Mengenausschnitt ergänzt; Herkunft/Messqualität, Sammelgrenzen und Originale getrennt. 1293/1293 lokale Fälle. Übrige Einzelkriterien und native Server-/Web-/Fach-/Rechtsabnahmen offen.</x:v>
      </x:c>
      <x:c r="H24" s="3" t="str">
        <x:v>Die zugeordneten Einzelaufgaben und einschlägigen G01–G28-Prüfungen nachgewiesen; offene Punkte gesichert.</x:v>
      </x:c>
    </x:row>
    <x:row r="25" ht="44" customHeight="1">
      <x:c r="A25" s="3" t="str">
        <x:v>E-P03</x:v>
      </x:c>
      <x:c r="B25" s="3" t="str">
        <x:v>Dokumentation und Protokolle</x:v>
      </x:c>
      <x:c r="C25" s="3" t="str">
        <x:v>E-07, E-08, E-09</x:v>
      </x:c>
      <x:c r="D25" s="3" t="str">
        <x:v>Unterschriften und Bestätigungen
Dokumentation vollständig anzeigen
Kontrollprotokolle zuordnen</x:v>
      </x:c>
      <x:c r="E25" s="3" t="str">
        <x:v>B-02, A-03</x:v>
      </x:c>
      <x:c r="F25" s="3" t="str">
        <x:v>Teilweise umgesetzt</x:v>
      </x:c>
      <x:c r="G25" s="3" t="str">
        <x:v>CP153: Ungebundenes privates Narrativpanel mit aktuellen nativen Dualrechten und bewusst gewählten primitiven Originalfeldern; 74 neue Fälle, 6400 lokale Tests. Host/M07/Feldrechte/Layout/RLS/Fachabnahmen offen.</x:v>
      </x:c>
      <x:c r="H25" s="3" t="str">
        <x:v>Die zugeordneten Einzelaufgaben und einschlägigen G01–G28-Prüfungen nachgewiesen; offene Punkte gesichert.</x:v>
      </x:c>
    </x:row>
    <x:row r="26" ht="44" customHeight="1">
      <x:c r="A26" s="3" t="str">
        <x:v>E-P04</x:v>
      </x:c>
      <x:c r="B26" s="3" t="str">
        <x:v>Dokumentation und Protokolle</x:v>
      </x:c>
      <x:c r="C26" s="3" t="str">
        <x:v>E-10</x:v>
      </x:c>
      <x:c r="D26" s="3" t="str">
        <x:v>Fremddokumentation kennzeichnen</x:v>
      </x:c>
      <x:c r="E26" s="3" t="str">
        <x:v>B-02, A-03</x:v>
      </x:c>
      <x:c r="F26" s="3" t="str">
        <x:v>Teilweise umgesetzt</x:v>
      </x:c>
      <x:c r="G26" s="3" t="str">
        <x:v>CP136: Native Signaturoriginale und aktuelle Metadatenansicht lokal geprüft. Signatur ist kein Freigabe-/Durchführungsnachweis; echte Abnahmen offen.</x:v>
      </x:c>
      <x:c r="H26" s="3" t="str">
        <x:v>Die zugeordneten Einzelaufgaben und einschlägigen G01–G28-Prüfungen nachgewiesen; offene Punkte gesichert.</x:v>
      </x:c>
    </x:row>
    <x:row r="27" ht="44" customHeight="1">
      <x:c r="A27" s="3" t="str">
        <x:v>F-P01</x:v>
      </x:c>
      <x:c r="B27" s="3" t="str">
        <x:v>Grundpflege und Prophylaxen</x:v>
      </x:c>
      <x:c r="C27" s="3" t="str">
        <x:v>F-01, F-02, F-03</x:v>
      </x:c>
      <x:c r="D27" s="3" t="str">
        <x:v>Körperpflege
Mund und Zahnpflege
An und Auskleiden</x:v>
      </x:c>
      <x:c r="E27" s="3" t="str">
        <x:v>C-08, D-02</x:v>
      </x:c>
      <x:c r="F27" s="3" t="str">
        <x:v>Offen</x:v>
      </x:c>
      <x:c r="G27" s="3" t="str">
        <x:v>Vorhandenen Daten- und UI-Pfad feststellen. Konkrete Restarbeit für jede ID festhalten.</x:v>
      </x:c>
      <x:c r="H27" s="3" t="str">
        <x:v>Die zugeordneten Einzelaufgaben und einschlägigen G01–G28-Prüfungen nachgewiesen; offene Punkte gesichert.</x:v>
      </x:c>
    </x:row>
    <x:row r="28" ht="44" customHeight="1">
      <x:c r="A28" s="3" t="str">
        <x:v>F-P02</x:v>
      </x:c>
      <x:c r="B28" s="3" t="str">
        <x:v>Grundpflege und Prophylaxen</x:v>
      </x:c>
      <x:c r="C28" s="3" t="str">
        <x:v>F-04, F-05, F-06</x:v>
      </x:c>
      <x:c r="D28" s="3" t="str">
        <x:v>Transfer und Positionierung
Dekubitusprävention
Sturzprävention</x:v>
      </x:c>
      <x:c r="E28" s="3" t="str">
        <x:v>C-08, D-02</x:v>
      </x:c>
      <x:c r="F28" s="3" t="str">
        <x:v>Teilweise umgesetzt</x:v>
      </x:c>
      <x:c r="G28" s="3" t="str">
        <x:v>CP175: Historie/Writer/Session an feste eigene native Originalbelege; 21 neue Fälle,8071 Tests,native64/7 und Session29/2. Unklare Journale/Originalantworten erhalten; Ereignis/Plan/Neubewertung/Folgeaufträge und Browser/Layout/SQL/RLS/Fachabnahmen offen. Andere Aufgaben unverändert.</x:v>
      </x:c>
      <x:c r="H28" s="3" t="str">
        <x:v>Die zugeordneten Einzelaufgaben und einschlägigen G01–G28-Prüfungen nachgewiesen; offene Punkte gesichert.</x:v>
      </x:c>
    </x:row>
    <x:row r="29" ht="44" customHeight="1">
      <x:c r="A29" s="3" t="str">
        <x:v>F-P03</x:v>
      </x:c>
      <x:c r="B29" s="3" t="str">
        <x:v>Grundpflege und Prophylaxen</x:v>
      </x:c>
      <x:c r="C29" s="3" t="str">
        <x:v>F-07, F-08</x:v>
      </x:c>
      <x:c r="D29" s="3" t="str">
        <x:v>Kontrakturprävention und Aktivierung
Individuelle weitere Prophylaxen</x:v>
      </x:c>
      <x:c r="E29" s="3" t="str">
        <x:v>C-08, D-02</x:v>
      </x:c>
      <x:c r="F29" s="3" t="str">
        <x:v>Offen</x:v>
      </x:c>
      <x:c r="G29" s="3" t="str">
        <x:v>Vorhandenen Daten- und UI-Pfad feststellen. Konkrete Restarbeit für jede ID festhalten.</x:v>
      </x:c>
      <x:c r="H29" s="3" t="str">
        <x:v>Die zugeordneten Einzelaufgaben und einschlägigen G01–G28-Prüfungen nachgewiesen; offene Punkte gesichert.</x:v>
      </x:c>
    </x:row>
    <x:row r="30" ht="44" customHeight="1">
      <x:c r="A30" s="3" t="str">
        <x:v>G-P01</x:v>
      </x:c>
      <x:c r="B30" s="3" t="str">
        <x:v>Ernährung und Ausscheidung</x:v>
      </x:c>
      <x:c r="C30" s="3" t="str">
        <x:v>G-01, G-02, G-03</x:v>
      </x:c>
      <x:c r="D30" s="3" t="str">
        <x:v>Ernährungsassessment
Mahlzeitenunterstützung
Trinkprotokoll</x:v>
      </x:c>
      <x:c r="E30" s="3" t="str">
        <x:v>C-08, D-02</x:v>
      </x:c>
      <x:c r="F30" s="3" t="str">
        <x:v>Begonnen mit Teilprüfung</x:v>
      </x:c>
      <x:c r="G30" s="3" t="str">
        <x:v>CP29: Miktion, weitere Ausfuhr und dokumentierter Mengenausschnitt ergänzt; Herkunft/Messqualität, Sammelgrenzen und Originale getrennt. 1293/1293 lokale Fälle. Übrige Einzelkriterien und native Server-/Web-/Fach-/Rechtsabnahmen offen.</x:v>
      </x:c>
      <x:c r="H30" s="3" t="str">
        <x:v>Die zugeordneten Einzelaufgaben und einschlägigen G01–G28-Prüfungen nachgewiesen; offene Punkte gesichert.</x:v>
      </x:c>
    </x:row>
    <x:row r="31" ht="44" customHeight="1">
      <x:c r="A31" s="3" t="str">
        <x:v>G-P02</x:v>
      </x:c>
      <x:c r="B31" s="3" t="str">
        <x:v>Ernährung und Ausscheidung</x:v>
      </x:c>
      <x:c r="C31" s="3" t="str">
        <x:v>G-04, G-05, G-06</x:v>
      </x:c>
      <x:c r="D31" s="3" t="str">
        <x:v>Schluckstörung
Enterale Ernährung
Flüssigkeitsbilanz</x:v>
      </x:c>
      <x:c r="E31" s="3" t="str">
        <x:v>C-08, D-02</x:v>
      </x:c>
      <x:c r="F31" s="3" t="str">
        <x:v>Begonnen mit Teilprüfung</x:v>
      </x:c>
      <x:c r="G31" s="3" t="str">
        <x:v>CP29: Miktion, weitere Ausfuhr und dokumentierter Mengenausschnitt ergänzt; Herkunft/Messqualität, Sammelgrenzen und Originale getrennt. 1293/1293 lokale Fälle. Übrige Einzelkriterien und native Server-/Web-/Fach-/Rechtsabnahmen offen.</x:v>
      </x:c>
      <x:c r="H31" s="3" t="str">
        <x:v>Die zugeordneten Einzelaufgaben und einschlägigen G01–G28-Prüfungen nachgewiesen; offene Punkte gesichert.</x:v>
      </x:c>
    </x:row>
    <x:row r="32" ht="44" customHeight="1">
      <x:c r="A32" s="3" t="str">
        <x:v>G-P03</x:v>
      </x:c>
      <x:c r="B32" s="3" t="str">
        <x:v>Ernährung und Ausscheidung</x:v>
      </x:c>
      <x:c r="C32" s="3" t="str">
        <x:v>G-07, G-08, G-09</x:v>
      </x:c>
      <x:c r="D32" s="3" t="str">
        <x:v>Kontinenz und Toilettenhilfe
Stuhl und Darmprotokoll
Katheterversorgung</x:v>
      </x:c>
      <x:c r="E32" s="3" t="str">
        <x:v>C-08, D-02</x:v>
      </x:c>
      <x:c r="F32" s="3" t="str">
        <x:v>Begonnen mit Teilprüfung</x:v>
      </x:c>
      <x:c r="G32" s="3" t="str">
        <x:v>CP30: strukturiertes eigenes Kontinenzprofil, Ressourcen/Tagesgewohnheiten, ausdrückliche Maßnahmenbezüge und aktueller Evaluationskontext. 1392/1392 lokale Fälle. Gesamt-Tagesplan, historische Evaluationsbezüge und native Server-/Web-/Fach-/Rechtsabnahmen offen.</x:v>
      </x:c>
      <x:c r="H32" s="3" t="str">
        <x:v>Die zugeordneten Einzelaufgaben und einschlägigen G01–G28-Prüfungen nachgewiesen; offene Punkte gesichert.</x:v>
      </x:c>
    </x:row>
    <x:row r="33" ht="44" customHeight="1">
      <x:c r="A33" s="3" t="str">
        <x:v>G-P04</x:v>
      </x:c>
      <x:c r="B33" s="3" t="str">
        <x:v>Ernährung und Ausscheidung</x:v>
      </x:c>
      <x:c r="C33" s="3" t="str">
        <x:v>G-10, G-11, G-12</x:v>
      </x:c>
      <x:c r="D33" s="3" t="str">
        <x:v>Stomaversorgung
PEG und Sondenbeobachtung
Gewichtsverlust nachhalten</x:v>
      </x:c>
      <x:c r="E33" s="3" t="str">
        <x:v>C-08, D-02</x:v>
      </x:c>
      <x:c r="F33" s="3" t="str">
        <x:v>Offen</x:v>
      </x:c>
      <x:c r="G33" s="3" t="str">
        <x:v>Vorhandenen Daten- und UI-Pfad feststellen. Konkrete Restarbeit für jede ID festhalten.</x:v>
      </x:c>
      <x:c r="H33" s="3" t="str">
        <x:v>Die zugeordneten Einzelaufgaben und einschlägigen G01–G28-Prüfungen nachgewiesen; offene Punkte gesichert.</x:v>
      </x:c>
    </x:row>
    <x:row r="34" ht="44" customHeight="1">
      <x:c r="A34" s="3" t="str">
        <x:v>H-P01</x:v>
      </x:c>
      <x:c r="B34" s="3" t="str">
        <x:v>Medikamente und Verabreichung</x:v>
      </x:c>
      <x:c r="C34" s="3" t="str">
        <x:v>H-01, H-02, H-03</x:v>
      </x:c>
      <x:c r="D34" s="3" t="str">
        <x:v>Medikationsabgleich
Verordnung erfassen
Gabeplan und Zeitfenster</x:v>
      </x:c>
      <x:c r="E34" s="3" t="str">
        <x:v>B-06, E-01</x:v>
      </x:c>
      <x:c r="F34" s="3" t="str">
        <x:v>CP114: Originalzeiten effizient;3101 Tests bestanden.</x:v>
      </x:c>
      <x:c r="G34" s="3" t="str">
        <x:v>Zeitfenster/Abgleich klären; Abnahmen offen.</x:v>
      </x:c>
      <x:c r="H34" s="3" t="str">
        <x:v>Die zugeordneten Einzelaufgaben und einschlägigen G01–G28-Prüfungen nachgewiesen; offene Punkte gesichert.</x:v>
      </x:c>
    </x:row>
    <x:row r="35" ht="44" customHeight="1">
      <x:c r="A35" s="3" t="str">
        <x:v>H-P02</x:v>
      </x:c>
      <x:c r="B35" s="3" t="str">
        <x:v>Medikamente und Verabreichung</x:v>
      </x:c>
      <x:c r="C35" s="3" t="str">
        <x:v>H-04, H-05, H-06</x:v>
      </x:c>
      <x:c r="D35" s="3" t="str">
        <x:v>Tatsächliche Gabe
Verspätete Gabe
Nichtgabe und Ablehnung</x:v>
      </x:c>
      <x:c r="E35" s="3" t="str">
        <x:v>B-06, E-01</x:v>
      </x:c>
      <x:c r="F35" s="3" t="str">
        <x:v>CP108: Originalzeitprüfung;2876 Tests bestanden.</x:v>
      </x:c>
      <x:c r="G35" s="3" t="str">
        <x:v>Quellen/Rawlisten prüfen; Web/SQL/Fachabnahmen offen.</x:v>
      </x:c>
      <x:c r="H35" s="3" t="str">
        <x:v>Die zugeordneten Einzelaufgaben und einschlägigen G01–G28-Prüfungen nachgewiesen; offene Punkte gesichert.</x:v>
      </x:c>
    </x:row>
    <x:row r="36" ht="44" customHeight="1">
      <x:c r="A36" s="3" t="str">
        <x:v>H-P03</x:v>
      </x:c>
      <x:c r="B36" s="3" t="str">
        <x:v>Medikamente und Verabreichung</x:v>
      </x:c>
      <x:c r="C36" s="3" t="str">
        <x:v>H-07, H-08, H-09</x:v>
      </x:c>
      <x:c r="D36" s="3" t="str">
        <x:v>Bedarfsmedikation
Wirksamkeitskontrolle
Nebenwirkung und Medikationsfehler</x:v>
      </x:c>
      <x:c r="E36" s="3" t="str">
        <x:v>B-06, E-01</x:v>
      </x:c>
      <x:c r="F36" s="3" t="str">
        <x:v>CP108: Originalzeitprüfung;2876 Tests bestanden.</x:v>
      </x:c>
      <x:c r="G36" s="3" t="str">
        <x:v>Quellen/Rawlisten prüfen; Web/SQL/Fachabnahmen offen.</x:v>
      </x:c>
      <x:c r="H36" s="3" t="str">
        <x:v>Die zugeordneten Einzelaufgaben und einschlägigen G01–G28-Prüfungen nachgewiesen; offene Punkte gesichert.</x:v>
      </x:c>
    </x:row>
    <x:row r="37" ht="44" customHeight="1">
      <x:c r="A37" s="3" t="str">
        <x:v>H-P04</x:v>
      </x:c>
      <x:c r="B37" s="3" t="str">
        <x:v>Medikamente und Verabreichung</x:v>
      </x:c>
      <x:c r="C37" s="3" t="str">
        <x:v>H-10, H-11, H-12</x:v>
      </x:c>
      <x:c r="D37" s="3" t="str">
        <x:v>Gegenkontrolle und BtM
Richten und Bestände
Verordnung pausieren oder beenden</x:v>
      </x:c>
      <x:c r="E37" s="3" t="str">
        <x:v>B-06, E-01</x:v>
      </x:c>
      <x:c r="F37" s="3" t="str">
        <x:v>CP108: Originalzeitprüfung;2876 Tests bestanden.</x:v>
      </x:c>
      <x:c r="G37" s="3" t="str">
        <x:v>Quellen/Rawlisten prüfen; Web/SQL/Fachabnahmen offen.</x:v>
      </x:c>
      <x:c r="H37" s="3" t="str">
        <x:v>Die zugeordneten Einzelaufgaben und einschlägigen G01–G28-Prüfungen nachgewiesen; offene Punkte gesichert.</x:v>
      </x:c>
    </x:row>
    <x:row r="38" ht="44" customHeight="1">
      <x:c r="A38" s="3" t="str">
        <x:v>H-P05</x:v>
      </x:c>
      <x:c r="B38" s="3" t="str">
        <x:v>Medikamente und Verabreichung</x:v>
      </x:c>
      <x:c r="C38" s="3" t="str">
        <x:v>H-13, H-14, H-15</x:v>
      </x:c>
      <x:c r="D38" s="3" t="str">
        <x:v>Bedarfsabstände prüfen
Höchstmengen prüfen
BtM-Bestandsbuch</x:v>
      </x:c>
      <x:c r="E38" s="3" t="str">
        <x:v>B-06, E-01</x:v>
      </x:c>
      <x:c r="F38" s="3" t="str">
        <x:v>Offen</x:v>
      </x:c>
      <x:c r="G38" s="3" t="str">
        <x:v>Vorhandenen Daten- und UI-Pfad feststellen. Konkrete Restarbeit für jede ID festhalten.</x:v>
      </x:c>
      <x:c r="H38" s="3" t="str">
        <x:v>Die zugeordneten Einzelaufgaben und einschlägigen G01–G28-Prüfungen nachgewiesen; offene Punkte gesichert.</x:v>
      </x:c>
    </x:row>
    <x:row r="39" ht="44" customHeight="1">
      <x:c r="A39" s="3" t="str">
        <x:v>H-P06</x:v>
      </x:c>
      <x:c r="B39" s="3" t="str">
        <x:v>Medikamente und Verabreichung</x:v>
      </x:c>
      <x:c r="C39" s="3" t="str">
        <x:v>H-16</x:v>
      </x:c>
      <x:c r="D39" s="3" t="str">
        <x:v>Medikamentenkorrektur</x:v>
      </x:c>
      <x:c r="E39" s="3" t="str">
        <x:v>B-06, E-01</x:v>
      </x:c>
      <x:c r="F39" s="3" t="str">
        <x:v>Offen</x:v>
      </x:c>
      <x:c r="G39" s="3" t="str">
        <x:v>Vorhandenen Daten- und UI-Pfad feststellen. Konkrete Restarbeit für jede ID festhalten.</x:v>
      </x:c>
      <x:c r="H39" s="3" t="str">
        <x:v>Die zugeordneten Einzelaufgaben und einschlägigen G01–G28-Prüfungen nachgewiesen; offene Punkte gesichert.</x:v>
      </x:c>
    </x:row>
    <x:row r="40" ht="44" customHeight="1">
      <x:c r="A40" s="3" t="str">
        <x:v>I-P01</x:v>
      </x:c>
      <x:c r="B40" s="3" t="str">
        <x:v>Behandlungspflege</x:v>
      </x:c>
      <x:c r="C40" s="3" t="str">
        <x:v>I-01, I-02, I-03</x:v>
      </x:c>
      <x:c r="D40" s="3" t="str">
        <x:v>HKP-Verordnung verwalten
Behandlung und Genehmigung trennen
Injektion dokumentieren</x:v>
      </x:c>
      <x:c r="E40" s="3" t="str">
        <x:v>B-06, E-01</x:v>
      </x:c>
      <x:c r="F40" s="3" t="str">
        <x:v>Teilweise umgesetzt</x:v>
      </x:c>
      <x:c r="G40" s="3" t="str">
        <x:v>Checkpoint 20: sechs strukturierte Behandlungspflegeprofile und tatsächliche Quellenbezüge vorbereitet; 55 neue lokale Fälle bestanden. Einzelkriterien und tatsächliche Datenbank-/Bedienungs-/Fach-/Rechtsabnahme offen.</x:v>
      </x:c>
      <x:c r="H40" s="3" t="str">
        <x:v>Die zugeordneten Einzelaufgaben und einschlägigen G01–G28-Prüfungen nachgewiesen; offene Punkte gesichert.</x:v>
      </x:c>
    </x:row>
    <x:row r="41" ht="44" customHeight="1">
      <x:c r="A41" s="3" t="str">
        <x:v>I-P02</x:v>
      </x:c>
      <x:c r="B41" s="3" t="str">
        <x:v>Behandlungspflege</x:v>
      </x:c>
      <x:c r="C41" s="3" t="str">
        <x:v>I-04, I-05, I-06</x:v>
      </x:c>
      <x:c r="D41" s="3" t="str">
        <x:v>Insulin und Diabetes
Infusion durchführen
Pumpen und Perfusoren</x:v>
      </x:c>
      <x:c r="E41" s="3" t="str">
        <x:v>B-06, E-01</x:v>
      </x:c>
      <x:c r="F41" s="3" t="str">
        <x:v>Teilweise umgesetzt</x:v>
      </x:c>
      <x:c r="G41" s="3" t="str">
        <x:v>Checkpoint 22: Infusions-Webablauf, Gateway und geschützter SQL-Entwurf lokal ergänzt; 603/603 lokale Fälle bestanden. Tatsächliche Datenbank-/Oberflächen-/Fachabnahme offen.</x:v>
      </x:c>
      <x:c r="H41" s="3" t="str">
        <x:v>Die zugeordneten Einzelaufgaben und einschlägigen G01–G28-Prüfungen nachgewiesen; offene Punkte gesichert.</x:v>
      </x:c>
    </x:row>
    <x:row r="42" ht="44" customHeight="1">
      <x:c r="A42" s="3" t="str">
        <x:v>I-P03</x:v>
      </x:c>
      <x:c r="B42" s="3" t="str">
        <x:v>Behandlungspflege</x:v>
      </x:c>
      <x:c r="C42" s="3" t="str">
        <x:v>I-07, I-08, I-09</x:v>
      </x:c>
      <x:c r="D42" s="3" t="str">
        <x:v>Inhalation und Instillation
Kompression
Zugänge und Drainagen</x:v>
      </x:c>
      <x:c r="E42" s="3" t="str">
        <x:v>B-06, E-01</x:v>
      </x:c>
      <x:c r="F42" s="3" t="str">
        <x:v>Teilweise umgesetzt</x:v>
      </x:c>
      <x:c r="G42" s="3" t="str">
        <x:v>Checkpoint 20: sechs strukturierte Behandlungspflegeprofile und tatsächliche Quellenbezüge vorbereitet; 55 neue lokale Fälle bestanden. Einzelkriterien und tatsächliche Datenbank-/Bedienungs-/Fach-/Rechtsabnahme offen.</x:v>
      </x:c>
      <x:c r="H42" s="3" t="str">
        <x:v>Die zugeordneten Einzelaufgaben und einschlägigen G01–G28-Prüfungen nachgewiesen; offene Punkte gesichert.</x:v>
      </x:c>
    </x:row>
    <x:row r="43" ht="44" customHeight="1">
      <x:c r="A43" s="3" t="str">
        <x:v>I-P04</x:v>
      </x:c>
      <x:c r="B43" s="3" t="str">
        <x:v>Behandlungspflege</x:v>
      </x:c>
      <x:c r="C43" s="3" t="str">
        <x:v>I-10, I-11, I-12</x:v>
      </x:c>
      <x:c r="D43" s="3" t="str">
        <x:v>Weitere HKP-Leistungen
Ärztliche Schemaänderung
Messung mit Behandlung verknüpfen</x:v>
      </x:c>
      <x:c r="E43" s="3" t="str">
        <x:v>B-06, E-01</x:v>
      </x:c>
      <x:c r="F43" s="3" t="str">
        <x:v>Teilweise umgesetzt</x:v>
      </x:c>
      <x:c r="G43" s="3" t="str">
        <x:v>Checkpoint 22: Infusions-Webablauf, Gateway und geschützter SQL-Entwurf lokal ergänzt; 603/603 lokale Fälle bestanden. Tatsächliche Datenbank-/Oberflächen-/Fachabnahme offen.</x:v>
      </x:c>
      <x:c r="H43" s="3" t="str">
        <x:v>Die zugeordneten Einzelaufgaben und einschlägigen G01–G28-Prüfungen nachgewiesen; offene Punkte gesichert.</x:v>
      </x:c>
    </x:row>
    <x:row r="44" ht="44" customHeight="1">
      <x:c r="A44" s="3" t="str">
        <x:v>J-P01</x:v>
      </x:c>
      <x:c r="B44" s="3" t="str">
        <x:v>Wunden und Verbände</x:v>
      </x:c>
      <x:c r="C44" s="3" t="str">
        <x:v>J-01, J-02, J-03</x:v>
      </x:c>
      <x:c r="D44" s="3" t="str">
        <x:v>Wunde eindeutig erfassen
Wundassessment
Wundfoto aufnehmen</x:v>
      </x:c>
      <x:c r="E44" s="3" t="str">
        <x:v>I-01, E-01</x:v>
      </x:c>
      <x:c r="F44" s="3" t="str">
        <x:v>Teilweise umgesetzt</x:v>
      </x:c>
      <x:c r="G44" s="3" t="str">
        <x:v>CP133: Live-Rechte und eigene Originalanfragen lokal geprüft; echte Fach-/SDK-/Webabnahmen offen.</x:v>
      </x:c>
      <x:c r="H44" s="3" t="str">
        <x:v>Die zugeordneten Einzelaufgaben und einschlägigen G01–G28-Prüfungen nachgewiesen; offene Punkte gesichert.</x:v>
      </x:c>
    </x:row>
    <x:row r="45" ht="44" customHeight="1">
      <x:c r="A45" s="3" t="str">
        <x:v>J-P02</x:v>
      </x:c>
      <x:c r="B45" s="3" t="str">
        <x:v>Wunden und Verbände</x:v>
      </x:c>
      <x:c r="C45" s="3" t="str">
        <x:v>J-04, J-05, J-06</x:v>
      </x:c>
      <x:c r="D45" s="3" t="str">
        <x:v>Wundverlauf vergleichen
Verbandwechsel dokumentieren
Wundplan ändern</x:v>
      </x:c>
      <x:c r="E45" s="3" t="str">
        <x:v>I-01, E-01</x:v>
      </x:c>
      <x:c r="F45" s="3" t="str">
        <x:v>Teilweise umgesetzt</x:v>
      </x:c>
      <x:c r="G45" s="3" t="str">
        <x:v>CP133: Live-Rechte und eigene Originalanfragen lokal geprüft; echte Fach-/SDK-/Webabnahmen offen.</x:v>
      </x:c>
      <x:c r="H45" s="3" t="str">
        <x:v>Die zugeordneten Einzelaufgaben und einschlägigen G01–G28-Prüfungen nachgewiesen; offene Punkte gesichert.</x:v>
      </x:c>
    </x:row>
    <x:row r="46" ht="44" customHeight="1">
      <x:c r="A46" s="3" t="str">
        <x:v>J-P03</x:v>
      </x:c>
      <x:c r="B46" s="3" t="str">
        <x:v>Wunden und Verbände</x:v>
      </x:c>
      <x:c r="C46" s="3" t="str">
        <x:v>J-07, J-08</x:v>
      </x:c>
      <x:c r="D46" s="3" t="str">
        <x:v>Infektionsverdacht und Eskalation
Wunde abschließen oder wieder öffnen</x:v>
      </x:c>
      <x:c r="E46" s="3" t="str">
        <x:v>I-01, E-01</x:v>
      </x:c>
      <x:c r="F46" s="3" t="str">
        <x:v>Teilweise umgesetzt</x:v>
      </x:c>
      <x:c r="G46" s="3" t="str">
        <x:v>CP133: Live-Rechte und eigene Originalanfragen lokal geprüft; echte Fach-/SDK-/Webabnahmen offen.</x:v>
      </x:c>
      <x:c r="H46" s="3" t="str">
        <x:v>Die zugeordneten Einzelaufgaben und einschlägigen G01–G28-Prüfungen nachgewiesen; offene Punkte gesichert.</x:v>
      </x:c>
    </x:row>
    <x:row r="47" ht="44" customHeight="1">
      <x:c r="A47" s="3" t="str">
        <x:v>K-P01</x:v>
      </x:c>
      <x:c r="B47" s="3" t="str">
        <x:v>Vitalwerte und Verlaufsbewertung</x:v>
      </x:c>
      <x:c r="C47" s="3" t="str">
        <x:v>K-01, K-02, K-03</x:v>
      </x:c>
      <x:c r="D47" s="3" t="str">
        <x:v>Blutdruck und Puls
Temperatur
Sauerstoffsättigung</x:v>
      </x:c>
      <x:c r="E47" s="3" t="str">
        <x:v>B-02, E-01</x:v>
      </x:c>
      <x:c r="F47" s="3" t="str">
        <x:v>Teilweise umgesetzt</x:v>
      </x:c>
      <x:c r="G47" s="3" t="str">
        <x:v>CP150: Native Vitalerfassung mit ganzen Auswahloriginalen, exaktem Originalauftrag und Transportflight/lateACK über Wiederöffnung. 76 neue Fälle, 6149 Tests. Layout/SQL/RLS/klinische Einzelabnahmen offen.</x:v>
      </x:c>
      <x:c r="H47" s="3" t="str">
        <x:v>Die zugeordneten Einzelaufgaben und einschlägigen G01–G28-Prüfungen nachgewiesen; offene Punkte gesichert.</x:v>
      </x:c>
    </x:row>
    <x:row r="48" ht="44" customHeight="1">
      <x:c r="A48" s="3" t="str">
        <x:v>K-P02</x:v>
      </x:c>
      <x:c r="B48" s="3" t="str">
        <x:v>Vitalwerte und Verlaufsbewertung</x:v>
      </x:c>
      <x:c r="C48" s="3" t="str">
        <x:v>K-04, K-05, K-06</x:v>
      </x:c>
      <x:c r="D48" s="3" t="str">
        <x:v>Blutzucker
Gewicht und Körpermaße
Schmerzerfassung</x:v>
      </x:c>
      <x:c r="E48" s="3" t="str">
        <x:v>B-02, E-01</x:v>
      </x:c>
      <x:c r="F48" s="3" t="str">
        <x:v>Teilweise umgesetzt</x:v>
      </x:c>
      <x:c r="G48" s="3" t="str">
        <x:v>CP150: Native Vitalerfassung mit ganzen Auswahloriginalen, exaktem Originalauftrag und Transportflight/lateACK über Wiederöffnung. 76 neue Fälle, 6149 Tests. Layout/SQL/RLS/klinische Einzelabnahmen offen.</x:v>
      </x:c>
      <x:c r="H48" s="3" t="str">
        <x:v>Die zugeordneten Einzelaufgaben und einschlägigen G01–G28-Prüfungen nachgewiesen; offene Punkte gesichert.</x:v>
      </x:c>
    </x:row>
    <x:row r="49" ht="44" customHeight="1">
      <x:c r="A49" s="3" t="str">
        <x:v>K-P03</x:v>
      </x:c>
      <x:c r="B49" s="3" t="str">
        <x:v>Vitalwerte und Verlaufsbewertung</x:v>
      </x:c>
      <x:c r="C49" s="3" t="str">
        <x:v>K-07, K-08, K-09</x:v>
      </x:c>
      <x:c r="D49" s="3" t="str">
        <x:v>Patientenspezifische Grenzen
Auffälligkeit bearbeiten
Verlaufsdarstellung</x:v>
      </x:c>
      <x:c r="E49" s="3" t="str">
        <x:v>B-02, E-01</x:v>
      </x:c>
      <x:c r="F49" s="3" t="str">
        <x:v>Teilweise umgesetzt</x:v>
      </x:c>
      <x:c r="G49" s="3" t="str">
        <x:v>CP169 Originalpunkte/Korrekturmarker; CP173 inklusive ausdrückliche Originalzeitraumwahl und gelieferte Beobachtungsabstände, getrennte aktuelle Child-/Periodengeneration. 59 neue Fälle, 7995 Tests, native161/15. Sollmesslücken, echtes React/Browser/Layout, SQL/RLS und Fachabnahmen offen.</x:v>
      </x:c>
      <x:c r="H49" s="3" t="str">
        <x:v>Die zugeordneten Einzelaufgaben und einschlägigen G01–G28-Prüfungen nachgewiesen; offene Punkte gesichert.</x:v>
      </x:c>
    </x:row>
    <x:row r="50" ht="44" customHeight="1">
      <x:c r="A50" s="3" t="str">
        <x:v>K-P04</x:v>
      </x:c>
      <x:c r="B50" s="3" t="str">
        <x:v>Vitalwerte und Verlaufsbewertung</x:v>
      </x:c>
      <x:c r="C50" s="3" t="str">
        <x:v>K-10, K-11, K-12</x:v>
      </x:c>
      <x:c r="D50" s="3" t="str">
        <x:v>Weitere Beobachtungen
Messfehler korrigieren
Messgerät und Kalibrierung</x:v>
      </x:c>
      <x:c r="E50" s="3" t="str">
        <x:v>B-02, E-01</x:v>
      </x:c>
      <x:c r="F50" s="3" t="str">
        <x:v>Teilweise umgesetzt</x:v>
      </x:c>
      <x:c r="G50" s="3" t="str">
        <x:v>CP166 bindet die Vitalwerte-Liste an eigene aktuelle Lesebelege und vollständige gelieferte Originalpools. 65 neue Fälle, 7524 Tests. Diagramm, Browser/Layout, SQL/RLS und Fachabnahmen offen.</x:v>
      </x:c>
      <x:c r="H50" s="3" t="str">
        <x:v>Die zugeordneten Einzelaufgaben und einschlägigen G01–G28-Prüfungen nachgewiesen; offene Punkte gesichert.</x:v>
      </x:c>
    </x:row>
    <x:row r="51" ht="44" customHeight="1">
      <x:c r="A51" s="3" t="str">
        <x:v>L-P01</x:v>
      </x:c>
      <x:c r="B51" s="3" t="str">
        <x:v>Atmung und außerklinische Intensivpflege</x:v>
      </x:c>
      <x:c r="C51" s="3" t="str">
        <x:v>L-01, L-02, L-03</x:v>
      </x:c>
      <x:c r="D51" s="3" t="str">
        <x:v>Sauerstofftherapie
Tracheostomaversorgung
Absaugung</x:v>
      </x:c>
      <x:c r="E51" s="3" t="str">
        <x:v>I-01, Q-02</x:v>
      </x:c>
      <x:c r="F51" s="3" t="str">
        <x:v>Offen</x:v>
      </x:c>
      <x:c r="G51" s="3" t="str">
        <x:v>Vorhandenen Daten- und UI-Pfad feststellen. Konkrete Restarbeit für jede ID festhalten.</x:v>
      </x:c>
      <x:c r="H51" s="3" t="str">
        <x:v>Die zugeordneten Einzelaufgaben und einschlägigen G01–G28-Prüfungen nachgewiesen; offene Punkte gesichert.</x:v>
      </x:c>
    </x:row>
    <x:row r="52" ht="44" customHeight="1">
      <x:c r="A52" s="3" t="str">
        <x:v>L-P02</x:v>
      </x:c>
      <x:c r="B52" s="3" t="str">
        <x:v>Atmung und außerklinische Intensivpflege</x:v>
      </x:c>
      <x:c r="C52" s="3" t="str">
        <x:v>L-04, L-05, L-06</x:v>
      </x:c>
      <x:c r="D52" s="3" t="str">
        <x:v>Beatmungsparameter
Gerätealarme
Notfallausstattung</x:v>
      </x:c>
      <x:c r="E52" s="3" t="str">
        <x:v>I-01, Q-02</x:v>
      </x:c>
      <x:c r="F52" s="3" t="str">
        <x:v>Offen</x:v>
      </x:c>
      <x:c r="G52" s="3" t="str">
        <x:v>Vorhandenen Daten- und UI-Pfad feststellen. Konkrete Restarbeit für jede ID festhalten.</x:v>
      </x:c>
      <x:c r="H52" s="3" t="str">
        <x:v>Die zugeordneten Einzelaufgaben und einschlägigen G01–G28-Prüfungen nachgewiesen; offene Punkte gesichert.</x:v>
      </x:c>
    </x:row>
    <x:row r="53" ht="44" customHeight="1">
      <x:c r="A53" s="3" t="str">
        <x:v>L-P03</x:v>
      </x:c>
      <x:c r="B53" s="3" t="str">
        <x:v>Atmung und außerklinische Intensivpflege</x:v>
      </x:c>
      <x:c r="C53" s="3" t="str">
        <x:v>L-07, L-08</x:v>
      </x:c>
      <x:c r="D53" s="3" t="str">
        <x:v>Intensivpflege-Qualifikation
Spezialisierter Intensivpflegeumfang</x:v>
      </x:c>
      <x:c r="E53" s="3" t="str">
        <x:v>I-01, Q-02</x:v>
      </x:c>
      <x:c r="F53" s="3" t="str">
        <x:v>Offen</x:v>
      </x:c>
      <x:c r="G53" s="3" t="str">
        <x:v>Vorhandenen Daten- und UI-Pfad feststellen. Konkrete Restarbeit für jede ID festhalten.</x:v>
      </x:c>
      <x:c r="H53" s="3" t="str">
        <x:v>Die zugeordneten Einzelaufgaben und einschlägigen G01–G28-Prüfungen nachgewiesen; offene Punkte gesichert.</x:v>
      </x:c>
    </x:row>
    <x:row r="54" ht="44" customHeight="1">
      <x:c r="A54" s="3" t="str">
        <x:v>M-P01</x:v>
      </x:c>
      <x:c r="B54" s="3" t="str">
        <x:v>Demenz und psychische Gesundheit</x:v>
      </x:c>
      <x:c r="C54" s="3" t="str">
        <x:v>M-01, M-02, M-03</x:v>
      </x:c>
      <x:c r="D54" s="3" t="str">
        <x:v>Personenzentrierte Biografie
Orientierungsunterstützung
Herausforderndes Verhalten</x:v>
      </x:c>
      <x:c r="E54" s="3" t="str">
        <x:v>C-02, D-02</x:v>
      </x:c>
      <x:c r="F54" s="3" t="str">
        <x:v>Teilweise umgesetzt</x:v>
      </x:c>
      <x:c r="G54" s="3" t="str">
        <x:v>CP153/171 bewahren private Narrative/SIS-Kontexte; CP175 schließt veraltete oder ersetzbare Originalantworten beim Historien-/Panelverbrauch. 21 neue Fälle,8071 Tests,native64/7. Keine neue Einzelaufgabenabnahme; tatsächliche Feldrechte/Browser/Layout/Pflege/Recht und Beobachtungsablauf offen.</x:v>
      </x:c>
      <x:c r="H54" s="3" t="str">
        <x:v>Die zugeordneten Einzelaufgaben und einschlägigen G01–G28-Prüfungen nachgewiesen; offene Punkte gesichert.</x:v>
      </x:c>
    </x:row>
    <x:row r="55" ht="44" customHeight="1">
      <x:c r="A55" s="3" t="str">
        <x:v>M-P02</x:v>
      </x:c>
      <x:c r="B55" s="3" t="str">
        <x:v>Demenz und psychische Gesundheit</x:v>
      </x:c>
      <x:c r="C55" s="3" t="str">
        <x:v>M-04, M-05, M-06</x:v>
      </x:c>
      <x:c r="D55" s="3" t="str">
        <x:v>Psychische Krisen
Schlaf und Ruhe
Teilhabe und soziale Isolation</x:v>
      </x:c>
      <x:c r="E55" s="3" t="str">
        <x:v>C-02, D-02</x:v>
      </x:c>
      <x:c r="F55" s="3" t="str">
        <x:v>Offen</x:v>
      </x:c>
      <x:c r="G55" s="3" t="str">
        <x:v>CP149: Privater ganzer SIS-Originalbestand/narrative Historien, eigene native Kennungen und aktuelle Leserechte. 150 neue Fälle, 6073 bestanden. Keine M-Abnahme; Host/Feldrechte/Layout/RLS/Fachabnahmen offen.</x:v>
      </x:c>
      <x:c r="H55" s="3" t="str">
        <x:v>Die zugeordneten Einzelaufgaben und einschlägigen G01–G28-Prüfungen nachgewiesen; offene Punkte gesichert.</x:v>
      </x:c>
    </x:row>
    <x:row r="56" ht="44" customHeight="1">
      <x:c r="A56" s="3" t="str">
        <x:v>M-P03</x:v>
      </x:c>
      <x:c r="B56" s="3" t="str">
        <x:v>Demenz und psychische Gesundheit</x:v>
      </x:c>
      <x:c r="C56" s="3" t="str">
        <x:v>M-07, M-08</x:v>
      </x:c>
      <x:c r="D56" s="3" t="str">
        <x:v>Selbstgefährdung und Schutzbedarf
Psychiatrische häusliche Krankenpflege</x:v>
      </x:c>
      <x:c r="E56" s="3" t="str">
        <x:v>C-02, D-02</x:v>
      </x:c>
      <x:c r="F56" s="3" t="str">
        <x:v>Offen</x:v>
      </x:c>
      <x:c r="G56" s="3" t="str">
        <x:v>CP153: Ungebundenes privates Narrativpanel mit aktuellen nativen Dualrechten und bewusst gewählten primitiven Originalfeldern; 74 neue Fälle, 6400 lokale Tests. Host/M07/Feldrechte/Layout/RLS/Fachabnahmen offen.</x:v>
      </x:c>
      <x:c r="H56" s="3" t="str">
        <x:v>Die zugeordneten Einzelaufgaben und einschlägigen G01–G28-Prüfungen nachgewiesen; offene Punkte gesichert.</x:v>
      </x:c>
    </x:row>
    <x:row r="57" ht="44" customHeight="1">
      <x:c r="A57" s="3" t="str">
        <x:v>N-P01</x:v>
      </x:c>
      <x:c r="B57" s="3" t="str">
        <x:v>Palliative Pflege und besondere Lebenslagen</x:v>
      </x:c>
      <x:c r="C57" s="3" t="str">
        <x:v>N-01, N-02, N-03</x:v>
      </x:c>
      <x:c r="D57" s="3" t="str">
        <x:v>Palliative Zielvereinbarung
Patientenverfügung und Vorsorge
Symptomverlauf</x:v>
      </x:c>
      <x:c r="E57" s="3" t="str">
        <x:v>B-04, D-02</x:v>
      </x:c>
      <x:c r="F57" s="3" t="str">
        <x:v>Offen</x:v>
      </x:c>
      <x:c r="G57" s="3" t="str">
        <x:v>Vorhandenen Daten- und UI-Pfad feststellen. Konkrete Restarbeit für jede ID festhalten.</x:v>
      </x:c>
      <x:c r="H57" s="3" t="str">
        <x:v>Die zugeordneten Einzelaufgaben und einschlägigen G01–G28-Prüfungen nachgewiesen; offene Punkte gesichert.</x:v>
      </x:c>
    </x:row>
    <x:row r="58" ht="44" customHeight="1">
      <x:c r="A58" s="3" t="str">
        <x:v>N-P02</x:v>
      </x:c>
      <x:c r="B58" s="3" t="str">
        <x:v>Palliative Pflege und besondere Lebenslagen</x:v>
      </x:c>
      <x:c r="C58" s="3" t="str">
        <x:v>N-04, N-05, N-06</x:v>
      </x:c>
      <x:c r="D58" s="3" t="str">
        <x:v>Sterbephase und Angehörige
Tod und Abschluss
Kinder und Jugendliche</x:v>
      </x:c>
      <x:c r="E58" s="3" t="str">
        <x:v>B-04, D-02</x:v>
      </x:c>
      <x:c r="F58" s="3" t="str">
        <x:v>Offen</x:v>
      </x:c>
      <x:c r="G58" s="3" t="str">
        <x:v>Vorhandenen Daten- und UI-Pfad feststellen. Konkrete Restarbeit für jede ID festhalten.</x:v>
      </x:c>
      <x:c r="H58" s="3" t="str">
        <x:v>Die zugeordneten Einzelaufgaben und einschlägigen G01–G28-Prüfungen nachgewiesen; offene Punkte gesichert.</x:v>
      </x:c>
    </x:row>
    <x:row r="59" ht="44" customHeight="1">
      <x:c r="A59" s="3" t="str">
        <x:v>N-P03</x:v>
      </x:c>
      <x:c r="B59" s="3" t="str">
        <x:v>Palliative Pflege und besondere Lebenslagen</x:v>
      </x:c>
      <x:c r="C59" s="3" t="str">
        <x:v>N-07, N-08, N-09</x:v>
      </x:c>
      <x:c r="D59" s="3" t="str">
        <x:v>Behinderung und komplexe Teilhabe
Weitere spezialisierte Versorgungen
Gesonderte Spezialleistung vereinbaren</x:v>
      </x:c>
      <x:c r="E59" s="3" t="str">
        <x:v>B-04, D-02</x:v>
      </x:c>
      <x:c r="F59" s="3" t="str">
        <x:v>Offen</x:v>
      </x:c>
      <x:c r="G59" s="3" t="str">
        <x:v>Vorhandenen Daten- und UI-Pfad feststellen. Konkrete Restarbeit für jede ID festhalten.</x:v>
      </x:c>
      <x:c r="H59" s="3" t="str">
        <x:v>Die zugeordneten Einzelaufgaben und einschlägigen G01–G28-Prüfungen nachgewiesen; offene Punkte gesichert.</x:v>
      </x:c>
    </x:row>
    <x:row r="60" ht="44" customHeight="1">
      <x:c r="A60" s="3" t="str">
        <x:v>N-P04</x:v>
      </x:c>
      <x:c r="B60" s="3" t="str">
        <x:v>Palliative Pflege und besondere Lebenslagen</x:v>
      </x:c>
      <x:c r="C60" s="3" t="str">
        <x:v>N-10</x:v>
      </x:c>
      <x:c r="D60" s="3" t="str">
        <x:v>Kultursensible Versorgung</x:v>
      </x:c>
      <x:c r="E60" s="3" t="str">
        <x:v>B-04, D-02</x:v>
      </x:c>
      <x:c r="F60" s="3" t="str">
        <x:v>Offen</x:v>
      </x:c>
      <x:c r="G60" s="3" t="str">
        <x:v>Vorhandenen Daten- und UI-Pfad feststellen. Konkrete Restarbeit für jede ID festhalten.</x:v>
      </x:c>
      <x:c r="H60" s="3" t="str">
        <x:v>Die zugeordneten Einzelaufgaben und einschlägigen G01–G28-Prüfungen nachgewiesen; offene Punkte gesichert.</x:v>
      </x:c>
    </x:row>
    <x:row r="61" ht="44" customHeight="1">
      <x:c r="A61" s="3" t="str">
        <x:v>O-P01</x:v>
      </x:c>
      <x:c r="B61" s="3" t="str">
        <x:v>Beratung und Koordination</x:v>
      </x:c>
      <x:c r="C61" s="3" t="str">
        <x:v>O-01, O-02, O-03</x:v>
      </x:c>
      <x:c r="D61" s="3" t="str">
        <x:v>Pflegeberatung vereinbaren
Beratungsbesuch nach Leistungsgrundlage
Angehörige anleiten</x:v>
      </x:c>
      <x:c r="E61" s="3" t="str">
        <x:v>B-04, W-02</x:v>
      </x:c>
      <x:c r="F61" s="3" t="str">
        <x:v>Offen</x:v>
      </x:c>
      <x:c r="G61" s="3" t="str">
        <x:v>Vorhandenen Daten- und UI-Pfad feststellen. Konkrete Restarbeit für jede ID festhalten.</x:v>
      </x:c>
      <x:c r="H61" s="3" t="str">
        <x:v>Die zugeordneten Einzelaufgaben und einschlägigen G01–G28-Prüfungen nachgewiesen; offene Punkte gesichert.</x:v>
      </x:c>
    </x:row>
    <x:row r="62" ht="44" customHeight="1">
      <x:c r="A62" s="3" t="str">
        <x:v>O-P02</x:v>
      </x:c>
      <x:c r="B62" s="3" t="str">
        <x:v>Beratung und Koordination</x:v>
      </x:c>
      <x:c r="C62" s="3" t="str">
        <x:v>O-04, O-05, O-06</x:v>
      </x:c>
      <x:c r="D62" s="3" t="str">
        <x:v>Hilfsmittel organisieren
Entlassmanagement übernehmen
Pflegegrad und Leistungsänderung</x:v>
      </x:c>
      <x:c r="E62" s="3" t="str">
        <x:v>B-04, W-02</x:v>
      </x:c>
      <x:c r="F62" s="3" t="str">
        <x:v>Teilweise umgesetzt</x:v>
      </x:c>
      <x:c r="G62" s="3" t="str">
        <x:v>CP178: O-06 verbindet Pflegegrad-Nachfolgerdokumente ausschließlich über gelieferte native Dokumentkennungen und zeigt die getrennte Ereigniskette read-only unter aktuellen Parent-/Sensitive-Gates. Der Bestand liefert keine native Relation zu einer Pflegegradzeile, Beratung oder Folgeaufgabe; diese wird nicht aus Text, Datum oder Reihenfolge erfunden. Echte Browser-/Server-/RLS-/Pflege-/Design-/Rechtsabnahmen bleiben offen. O-04 und O-05 sind durch diesen Teilstand nicht bearbeitet.</x:v>
      </x:c>
      <x:c r="H62" s="3" t="str">
        <x:v>Die zugeordneten Einzelaufgaben und einschlägigen G01–G28-Prüfungen nachgewiesen; offene Punkte gesichert.</x:v>
      </x:c>
    </x:row>
    <x:row r="63" ht="44" customHeight="1">
      <x:c r="A63" s="3" t="str">
        <x:v>O-P03</x:v>
      </x:c>
      <x:c r="B63" s="3" t="str">
        <x:v>Beratung und Koordination</x:v>
      </x:c>
      <x:c r="C63" s="3" t="str">
        <x:v>O-07, O-08</x:v>
      </x:c>
      <x:c r="D63" s="3" t="str">
        <x:v>Therapien koordinieren
Arztkommunikation nachhalten</x:v>
      </x:c>
      <x:c r="E63" s="3" t="str">
        <x:v>B-04, W-02</x:v>
      </x:c>
      <x:c r="F63" s="3" t="str">
        <x:v>Teilweise umgesetzt</x:v>
      </x:c>
      <x:c r="G63" s="3" t="str">
        <x:v>CP180: O-07 zeigt weiterhin native client_prescriptions ohne erfundene Koordinationsrelation. O-08 zeigt unter zusätzlichem communication.view_center-Recht die vollständig gelieferten klientengebundenen Thread-, Nachrichten-, Teilnehmer-, Anlagen-, Zuweisungs-, Lesebeleg- und Auditpools read-only. Telefonische Rückmeldung, Rollenangabe und document_id werden mangels prescription_id, verifizierter Arztidentität und Signaturrelation ausdrücklich nicht als unterschriebene Verordnung ausgegeben. 121 neue Fälle, 2437/2437 betroffen und 8432/8432 gesamt; 0 Writes/0 RPC. Server/RLS/Fall/Provider-Outbound, React/Browser/Layout, Gesamt-Typecheck sowie Pflege/Design/Recht offen.</x:v>
      </x:c>
      <x:c r="H63" s="3" t="str">
        <x:v>Die zugeordneten Einzelaufgaben und einschlägigen G01–G28-Prüfungen nachgewiesen; offene Punkte gesichert.</x:v>
      </x:c>
    </x:row>
    <x:row r="64" ht="44" customHeight="1">
      <x:c r="A64" s="3" t="str">
        <x:v>P-P01</x:v>
      </x:c>
      <x:c r="B64" s="3" t="str">
        <x:v>Hygiene und Material</x:v>
      </x:c>
      <x:c r="C64" s="3" t="str">
        <x:v>P-01, P-02, P-03</x:v>
      </x:c>
      <x:c r="D64" s="3" t="str">
        <x:v>Hygieneplan zuordnen
MRE und Infektionsschutz
Verbrauchsmaterial verwalten</x:v>
      </x:c>
      <x:c r="E64" s="3" t="str">
        <x:v>A-05, Q-04</x:v>
      </x:c>
      <x:c r="F64" s="3" t="str">
        <x:v>Teilweise umgesetzt</x:v>
      </x:c>
      <x:c r="G64" s="3" t="str">
        <x:v>CP183: P-01 bleibt beim QM-Fassungsbeleg, P-02 beim nativen sensiblen Freitextauszug. P-03 kennzeichnet das bestehende Inventar nun ausdrücklich als einzeln identifizierte dauerhafte Arbeitsmittel: keine Mengeneinheit, Mengen-/Mindestbestandsführung, Lieferanten-, Lagerbewegungs-, Verbrauchs-, Pflegefall-/Einsatz- oder Idempotenzrelation. Wundmaterial-Freitext und Inventarausgabe werden nicht als Verbrauchsbuchung interpretiert. 9 neue Vertragsfälle, 126/126 betroffen und 8548/8548 gesamt; keine neue Query, 0 Writes/0 RPC. Native Verbrauchsoriginalhistorie, Browser/Server/RLS/Feldrechte und Pflege/Design/Recht offen.</x:v>
      </x:c>
      <x:c r="H64" s="3" t="str">
        <x:v>Die zugeordneten Einzelaufgaben und einschlägigen G01–G28-Prüfungen nachgewiesen; offene Punkte gesichert.</x:v>
      </x:c>
    </x:row>
    <x:row r="65" ht="44" customHeight="1">
      <x:c r="A65" s="3" t="str">
        <x:v>P-P02</x:v>
      </x:c>
      <x:c r="B65" s="3" t="str">
        <x:v>Hygiene und Material</x:v>
      </x:c>
      <x:c r="C65" s="3" t="str">
        <x:v>P-04, P-05, P-06</x:v>
      </x:c>
      <x:c r="D65" s="3" t="str">
        <x:v>Chargen und Haltbarkeit
Medizinprodukte und Wartung
Reinigung und Entsorgung</x:v>
      </x:c>
      <x:c r="E65" s="3" t="str">
        <x:v>A-05, Q-04</x:v>
      </x:c>
      <x:c r="F65" s="3" t="str">
        <x:v>Teilweise umgesetzt</x:v>
      </x:c>
      <x:c r="G65" s="3" t="str">
        <x:v>CP186: P-04 bis P-06 sind eng fortgeschrieben. P-06 weist nun sichtbar aus, dass Rückgabe, Vollständigkeit, Zustand, Geräte-Reset, Datenlöschung, Notizen und generisches Audit keine native Reinigungs-/Desinfektionstätigkeit, Verantwortliche, tatsächliche Durchführung, Verfahren, Abweichung, Freigabe, Entsorgung oder Belegrelation bestätigen. 8 neue Vertragsfälle, 152/152 Inventarprüfungen und 8574/8574 gesamt; keine neue Query, 0 Writes/0 RPC. Native Reinigungs-/Entsorgungsoriginalhistorie, Browser/Server/RLS/Feldrechte und Pflege/Design/Recht offen.</x:v>
      </x:c>
      <x:c r="H65" s="3" t="str">
        <x:v>Die zugeordneten Einzelaufgaben und einschlägigen G01–G28-Prüfungen nachgewiesen; offene Punkte gesichert.</x:v>
      </x:c>
    </x:row>
    <x:row r="66" ht="44" customHeight="1">
      <x:c r="A66" s="3" t="str">
        <x:v>P-P03</x:v>
      </x:c>
      <x:c r="B66" s="3" t="str">
        <x:v>Hygiene und Material</x:v>
      </x:c>
      <x:c r="C66" s="3" t="str">
        <x:v>P-07, P-08, P-09</x:v>
      </x:c>
      <x:c r="D66" s="3" t="str">
        <x:v>Hauswirtschaft und Alltagshilfe
Schlüssel und Zugang
Bestellungen und Lieferungen</x:v>
      </x:c>
      <x:c r="E66" s="3" t="str">
        <x:v>A-05, Q-04</x:v>
      </x:c>
      <x:c r="F66" s="3" t="str">
        <x:v>Teilweise umgesetzt</x:v>
      </x:c>
      <x:c r="G66" s="3" t="str">
        <x:v>CP189: P-07 trennt Hauswirtschaft/Alltagshilfe weiterhin von Pflegeausführung. P-08 trennt Inventarsignale von Schlüsselverwahrung und Zugangssperre. P-09 zeigt nun sichtbar, dass Inventarobjekt, Kaufdatum, Hersteller, Notiz und Status keine Bestellung, Lieferung, tatsächlichen Wareneingang oder mengenändernde Bestandsbuchung belegen. Der native Inventarvertrag enthält weder Bedarf/Bestellung/Position/Lieferant noch bestellte/eingegangene Menge, Differenz, Lieferantenrechnung oder Bestandsbuchung. 8 neue P-09-Fälle; Browser/Live-SDK/SQL/RLS/Feldrechte sowie Pflege/Design/Recht offen.</x:v>
      </x:c>
      <x:c r="H66" s="3" t="str">
        <x:v>Die zugeordneten Einzelaufgaben und einschlägigen G01–G28-Prüfungen nachgewiesen; offene Punkte gesichert.</x:v>
      </x:c>
    </x:row>
    <x:row r="67" ht="44" customHeight="1">
      <x:c r="A67" s="3" t="str">
        <x:v>P-P04</x:v>
      </x:c>
      <x:c r="B67" s="3" t="str">
        <x:v>Hygiene und Material</x:v>
      </x:c>
      <x:c r="C67" s="3" t="str">
        <x:v>P-10</x:v>
      </x:c>
      <x:c r="D67" s="3" t="str">
        <x:v>Lagerorte und Inventur</x:v>
      </x:c>
      <x:c r="E67" s="3" t="str">
        <x:v>A-05, Q-04</x:v>
      </x:c>
      <x:c r="F67" s="3" t="str">
        <x:v>Teilweise umgesetzt</x:v>
      </x:c>
      <x:c r="G67" s="3" t="str">
        <x:v>CP190: P-10 zeigt nun sichtbar, dass Lagerort, Gebäude, Raum, locationId, Inventarobjektzahl, Status und allgemeine Auditwerte keine Soll-/Ist-Menge, tatsächliche Inventurzählung, Differenzfreigabe oder Korrekturbuchung belegen. Der native Inventarvertrag enthält keine Zählung/Position, gezählte Menge, Abweichung, Freigabe oder append-only Mengenhistorie; stille Überschreibung bleibt verboten. 8 neue P-10-Fälle; Browser/Live-SDK/SQL/RLS/Feldrechte sowie Pflege/Design/Recht offen.</x:v>
      </x:c>
      <x:c r="H67" s="3" t="str">
        <x:v>Die zugeordneten Einzelaufgaben und einschlägigen G01–G28-Prüfungen nachgewiesen; offene Punkte gesichert.</x:v>
      </x:c>
    </x:row>
    <x:row r="68" ht="44" customHeight="1">
      <x:c r="A68" s="3" t="str">
        <x:v>Q-P01</x:v>
      </x:c>
      <x:c r="B68" s="3" t="str">
        <x:v>Personal und Delegation</x:v>
      </x:c>
      <x:c r="C68" s="3" t="str">
        <x:v>Q-01, Q-02, Q-03</x:v>
      </x:c>
      <x:c r="D68" s="3" t="str">
        <x:v>Mitarbeiterstammdaten
Qualifikationen
Aufgaben delegieren</x:v>
      </x:c>
      <x:c r="E68" s="3" t="str">
        <x:v>A-03, A-04</x:v>
      </x:c>
      <x:c r="F68" s="3" t="str">
        <x:v>Begonnen mit Teilprüfung</x:v>
      </x:c>
      <x:c r="G68" s="3" t="str">
        <x:v>CP33: Tatsächliche eigene Folgeevaluation und passender Auftragsabschluss mit Originalmaßnahmen/Kriterien, Autoren- und Zeitbezug. CP191: Q-01 aktuelle Beschäftigtenidentität und Teil-Snapshot von vollständiger Personal-/Vertrags-/Rollenhistorie sowie atomarem Gesamtzugriffsentzug abgegrenzt; 7 neue Vertrags-/Negativfälle. CP192: Q-02 native aktuelle Qualifikationszeilen und ablaufbezogenen primären Tourenvorschlagsfilter von Tätigkeit, Originalprüfung, Historie und statischem Alt-Vertretungspfad abgegrenzt; 8 neue Fälle. Native SQL/RLS/Web/Fach/Recht, vollständige Historien, atomarer Zugriffsentzug und tätigkeitsbezogene Kompetenzfreigabe offen.</x:v>
      </x:c>
      <x:c r="H68" s="3" t="str">
        <x:v>Die zugeordneten Einzelaufgaben und einschlägigen G01–G28-Prüfungen nachgewiesen; offene Punkte gesichert.</x:v>
      </x:c>
    </x:row>
    <x:row r="69" ht="44" customHeight="1">
      <x:c r="A69" s="3" t="str">
        <x:v>Q-P02</x:v>
      </x:c>
      <x:c r="B69" s="3" t="str">
        <x:v>Personal und Delegation</x:v>
      </x:c>
      <x:c r="C69" s="3" t="str">
        <x:v>Q-04, Q-05, Q-06</x:v>
      </x:c>
      <x:c r="D69" s="3" t="str">
        <x:v>Einarbeitung und Einweisung
Doppelte Besetzung
Fortbildung und Fristen</x:v>
      </x:c>
      <x:c r="E69" s="3" t="str">
        <x:v>A-03, A-04</x:v>
      </x:c>
      <x:c r="F69" s="3" t="str">
        <x:v>Begonnen mit Teilprüfung</x:v>
      </x:c>
      <x:c r="G69" s="3" t="str">
        <x:v>CP193: Q-04 grenzt vorhandene Kurs-/Teilnahme-/Ergebnis-/Gültigkeits- und Prüfmerkmale sichtbar von konkreter Gerätefassung, Teilnehmendenbestätigung, unveränderlichem Original und getrennter tätigkeitsbezogener Kompetenzentscheidung ab. CP194: Q-05 grenzt die vorhandene Einzelzuordnung, Überlappungsprüfung und Vertretung von Anlass, zweiter nativer Einsatzrelation, getrennter Eignung beider Personen und atomarer Doppelreservierung ab. CP195: Q-06 grenzt Pflichtregel, Zuweisung, Frist, Teilnahmezeiten, Zertifikat und Erinnerung von bestätigter Erfüllung, unveränderlichem Original, exakter Gültigkeitsentscheidung und append-only Pflichthistorie ab. 9 neue Fälle; 8646/8646 gesamt. Browser/Live-SDK/SQL/RLS/Feldrechte sowie Pflege/Design/Recht offen.</x:v>
      </x:c>
      <x:c r="H69" s="3" t="str">
        <x:v>Die zugeordneten Einzelaufgaben und einschlägigen G01–G28-Prüfungen nachgewiesen; offene Punkte gesichert.</x:v>
      </x:c>
    </x:row>
    <x:row r="70" ht="44" customHeight="1">
      <x:c r="A70" s="3" t="str">
        <x:v>Q-P03</x:v>
      </x:c>
      <x:c r="B70" s="3" t="str">
        <x:v>Personal und Delegation</x:v>
      </x:c>
      <x:c r="C70" s="3" t="str">
        <x:v>Q-07, Q-08, Q-09</x:v>
      </x:c>
      <x:c r="D70" s="3" t="str">
        <x:v>Vertretung und Bereitschaft
Arbeitsschutz und Belastung
Lohnrelevante Zeiten</x:v>
      </x:c>
      <x:c r="E70" s="3" t="str">
        <x:v>A-03, A-04</x:v>
      </x:c>
      <x:c r="F70" s="3" t="str">
        <x:v>Begonnen mit Teilprüfung</x:v>
      </x:c>
      <x:c r="G70" s="3" t="str">
        <x:v>CP33: Tatsächliche eigene Folgeevaluation und passender Auftragsabschluss mit Originalmaßnahmen/Kriterien, Autoren- und Zeitbezug. CP197: Q-07 grenzt Vertretungsplanung von befristeten konkreten Rechten ab. CP198: Q-08 trennt Personal-/Unterweisungsdaten von der Klientenportalprojektion. CP199: Q-09 grenzt den approved-only Review-Export mit referenziertem Snapshot und Supersede-Korrekturkette von Planzeit, gesperrtem Legacy-Export sowie unvollständig angebundener Fahrt/Bereitschaft, fehlenden Zuschlägen und fehlenden Mikrosekunden-Originalen ab. 8 neue Fälle; 8702/8702 gesamt. Browser/Live-SDK/deployed SQL/RLS/Feldrechte sowie Pflege/Design/Recht offen.</x:v>
      </x:c>
      <x:c r="H70" s="3" t="str">
        <x:v>Die zugeordneten Einzelaufgaben und einschlägigen G01–G28-Prüfungen nachgewiesen; offene Punkte gesichert.</x:v>
      </x:c>
    </x:row>
    <x:row r="71" ht="44" customHeight="1">
      <x:c r="A71" s="3" t="str">
        <x:v>Q-P04</x:v>
      </x:c>
      <x:c r="B71" s="3" t="str">
        <x:v>Personal und Delegation</x:v>
      </x:c>
      <x:c r="C71" s="3" t="str">
        <x:v>Q-10</x:v>
      </x:c>
      <x:c r="D71" s="3" t="str">
        <x:v>Abwesenheit und Rückkehr</x:v>
      </x:c>
      <x:c r="E71" s="3" t="str">
        <x:v>A-03, A-04</x:v>
      </x:c>
      <x:c r="F71" s="3" t="str">
        <x:v>Begonnen mit Teilprüfung</x:v>
      </x:c>
      <x:c r="G71" s="3" t="str">
        <x:v>CP200: Q-10 trennt native Abwesenheitsentscheidung und klientenportal-sichere Verfügbarkeit von tatsächlicher Rückkehr, Einsatzfähigkeitsentscheidung, befristeten Einschränkungen und append-only Historie. Dynamischer Negativfall entfernt vertrauliche Gründe aus dem Klientenhinweis; Kalender und Planprojektion geprüft. 8 neue Fälle; 8710/8710 gesamt. Browser/Live-SDK/deployed SQL/RLS/Feldrechte sowie Pflege/Design/Recht offen.</x:v>
      </x:c>
      <x:c r="H71" s="3" t="str">
        <x:v>Die zugeordneten Einzelaufgaben und einschlägigen G01–G28-Prüfungen nachgewiesen; offene Punkte gesichert.</x:v>
      </x:c>
    </x:row>
    <x:row r="72" ht="44" customHeight="1">
      <x:c r="A72" s="3" t="str">
        <x:v>R-P01</x:v>
      </x:c>
      <x:c r="B72" s="3" t="str">
        <x:v>Dienst und Tourenplanung</x:v>
      </x:c>
      <x:c r="C72" s="3" t="str">
        <x:v>R-01, R-02, R-03</x:v>
      </x:c>
      <x:c r="D72" s="3" t="str">
        <x:v>Dienstplan erstellen
Arbeitszeitregeln
Klientenbesuche planen</x:v>
      </x:c>
      <x:c r="E72" s="3" t="str">
        <x:v>B-07, Q-02</x:v>
      </x:c>
      <x:c r="F72" s="3" t="str">
        <x:v>Teilweise umgesetzt</x:v>
      </x:c>
      <x:c r="G72" s="3" t="str">
        <x:v>CP203: R-01-/R-02-Grenzen erhalten. R-03 trennt Tourentwurf, Freigabe und Ist-Versorgung sichtbar. Vorbereitete SQL-Guards verlangen für Freigabe und Versorgungsstart eine aktive datierte Aufnahme; Ressourcenliste/Entwurf prüfen sie noch nicht. Bedarf, Frequenz, strukturierte Leistungsart, Planversion, Browser/deployed SQL/RLS/Feldrechte sowie Pflege/Design/Recht fehlen. 8 neue Fälle; 8734/8734 gesamt.</x:v>
      </x:c>
      <x:c r="H72" s="3" t="str">
        <x:v>Die zugeordneten Einzelaufgaben und einschlägigen G01–G28-Prüfungen nachgewiesen; offene Punkte gesichert.</x:v>
      </x:c>
    </x:row>
    <x:row r="73" ht="44" customHeight="1">
      <x:c r="A73" s="3" t="str">
        <x:v>R-P02</x:v>
      </x:c>
      <x:c r="B73" s="3" t="str">
        <x:v>Dienst und Tourenplanung</x:v>
      </x:c>
      <x:c r="C73" s="3" t="str">
        <x:v>R-04, R-05, R-06</x:v>
      </x:c>
      <x:c r="D73" s="3" t="str">
        <x:v>Tour zuordnen
Wunschzeiten und Bezugspflege
Kurzfristige Umplanung</x:v>
      </x:c>
      <x:c r="E73" s="3" t="str">
        <x:v>B-07, Q-02</x:v>
      </x:c>
      <x:c r="F73" s="3" t="str">
        <x:v>Teilweise umgesetzt</x:v>
      </x:c>
      <x:c r="G73" s="3" t="str">
        <x:v>CP206: R-04-/R-05-Grenzen erhalten. R-06 trennt Statuswechsel und begründete Absage von atomarer Umplanung. Erwarteter Status, Zeilensperre und tatsächliche Stoppzeiten sind vorhanden; alte/neue Planfassung, Ersatzrelation, Planversion und adressierter Zustellnachweis fehlen. Begonnene Besuche dürfen nicht still ersetzt werden. Browser/deployed SQL/RLS/Feldrechte sowie Pflege/Design/Recht fehlen. 8 neue Fälle; 8758/8758 gesamt.</x:v>
      </x:c>
      <x:c r="H73" s="3" t="str">
        <x:v>Die zugeordneten Einzelaufgaben und einschlägigen G01–G28-Prüfungen nachgewiesen; offene Punkte gesichert.</x:v>
      </x:c>
    </x:row>
    <x:row r="74" ht="44" customHeight="1">
      <x:c r="A74" s="3" t="str">
        <x:v>R-P03</x:v>
      </x:c>
      <x:c r="B74" s="3" t="str">
        <x:v>Dienst und Tourenplanung</x:v>
      </x:c>
      <x:c r="C74" s="3" t="str">
        <x:v>R-07, R-08, R-09</x:v>
      </x:c>
      <x:c r="D74" s="3" t="str">
        <x:v>Serien und Feiertage
Plan veröffentlichen
Fahrzeuge und Fahrtenbuch</x:v>
      </x:c>
      <x:c r="E74" s="3" t="str">
        <x:v>B-07, Q-02</x:v>
      </x:c>
      <x:c r="F74" s="3" t="str">
        <x:v>Teilweise umgesetzt</x:v>
      </x:c>
      <x:c r="G74" s="3" t="str">
        <x:v>CP210: R-07-/R-08-Grenzen erhalten. R-09 trennt freies Fahrzeuglabel und zugeordnete Pflegekraft von gebundener Fahrzeug-/Fahreridentität und Fahrtenbuch. Die optionale Fahrzeugreferenz ist schema-seitig vorhanden, aber in Erzeugung, Dienst und UI ungebunden; Kilometer, Fahrtzweck, Übergabe und Fahrthistorie fehlen. Browser/deployed SQL/RLS/Feldrechte sowie Pflege/Design/Recht fehlen. 16 betroffene Fälle; 8790/8790 gesamt.</x:v>
      </x:c>
      <x:c r="H74" s="3" t="str">
        <x:v>Die zugeordneten Einzelaufgaben und einschlägigen G01–G28-Prüfungen nachgewiesen; offene Punkte gesichert.</x:v>
      </x:c>
    </x:row>
    <x:row r="75" ht="44" customHeight="1">
      <x:c r="A75" s="3" t="str">
        <x:v>R-P04</x:v>
      </x:c>
      <x:c r="B75" s="3" t="str">
        <x:v>Dienst und Tourenplanung</x:v>
      </x:c>
      <x:c r="C75" s="3" t="str">
        <x:v>R-10, R-11, R-12</x:v>
      </x:c>
      <x:c r="D75" s="3" t="str">
        <x:v>Fuhrparkwartung
Hausnotruf und Zusatzleistungen
Essen auf Rädern</x:v>
      </x:c>
      <x:c r="E75" s="3" t="str">
        <x:v>B-07, Q-02</x:v>
      </x:c>
      <x:c r="F75" s="3" t="str">
        <x:v>Teilweise umgesetzt</x:v>
      </x:c>
      <x:c r="G75" s="3" t="str">
        <x:v>CP212: R-10-/R-11-Grenzen erhalten. R-12 trennt Essensdienstkategorie und Demo-Referral von eigenem Mahlzeitenauftrag, Kostform, geplantem Termin, tatsächlicher Auslieferung, Übergabe und Ausfallverlauf. Mahlzeitenaufnahme und stationäre Demo-Planung sind getrennte Pfade. Browser/deployed SQL/RLS/Feldrechte sowie Pflege/Design/Recht fehlen. 8 neue Fälle; 8806/8806 gesamt.</x:v>
      </x:c>
      <x:c r="H75" s="3" t="str">
        <x:v>Die zugeordneten Einzelaufgaben und einschlägigen G01–G28-Prüfungen nachgewiesen; offene Punkte gesichert.</x:v>
      </x:c>
    </x:row>
    <x:row r="76" ht="44" customHeight="1">
      <x:c r="A76" s="3" t="str">
        <x:v>S-P01</x:v>
      </x:c>
      <x:c r="B76" s="3" t="str">
        <x:v>Einsatz und Leistungsnachweise</x:v>
      </x:c>
      <x:c r="C76" s="3" t="str">
        <x:v>S-01, S-02, S-03</x:v>
      </x:c>
      <x:c r="D76" s="3" t="str">
        <x:v>Einsatz öffnen
Beginn Pause und Ende
Aufgaben vor Ort abarbeiten</x:v>
      </x:c>
      <x:c r="E76" s="3" t="str">
        <x:v>R-03, E-01</x:v>
      </x:c>
      <x:c r="F76" s="3" t="str">
        <x:v>Teilweise umgesetzt</x:v>
      </x:c>
      <x:c r="G76" s="3" t="str">
        <x:v>CP215: S-01-/S-02-Grenzen erhalten. S-03 friert die nativen Planpositionen beim bestätigten Beginn ein und bindet sie am Stop; Ergebnis, Nichtdurchführung/Abweichung, Beobachtung, Person und Serverzeit werden append-only und idempotent getrennt dokumentiert. Planpunkt oder Häkchen erzeugt keine Durchführung/Freigabe. Native Oberfläche unverändert; generische Abschlussvollständigkeit, Korrektur/Storno und echte SQL/RLS-/Browser-/Fachabnahmen offen. 13 neue Fälle; 8843/8843 gesamt.</x:v>
      </x:c>
      <x:c r="H76" s="3" t="str">
        <x:v>Die zugeordneten Einzelaufgaben und einschlägigen G01–G28-Prüfungen nachgewiesen; offene Punkte gesichert.</x:v>
      </x:c>
    </x:row>
    <x:row r="77" ht="44" customHeight="1">
      <x:c r="A77" s="3" t="str">
        <x:v>S-P02</x:v>
      </x:c>
      <x:c r="B77" s="3" t="str">
        <x:v>Einsatz und Leistungsnachweise</x:v>
      </x:c>
      <x:c r="C77" s="3" t="str">
        <x:v>S-04, S-05, S-06</x:v>
      </x:c>
      <x:c r="D77" s="3" t="str">
        <x:v>Klient nicht erreichbar
Mehrere Leistungen pro Einsatz
Bestätigung durch Klienten</x:v>
      </x:c>
      <x:c r="E77" s="3" t="str">
        <x:v>R-03, E-01</x:v>
      </x:c>
      <x:c r="F77" s="3" t="str">
        <x:v>Teilweise umgesetzt</x:v>
      </x:c>
      <x:c r="G77" s="3" t="str">
        <x:v>CP218: S-04/S-05-Grenzen erhalten. S-06 bestätigt genau eine unveränderte Nachweisposition mit Person/Vertretungsgrundlage, Serverzeit, Inhalts-Snapshot/Hash, Mikrosekunden-Guard und idempotenter Request-ID; bestätigte Inhalte werden gegen spätere Änderung gesperrt und nicht auf andere Positionen übertragen. Android/Altpfad unverändert. Echte SQL/RLS-/Trigger-/Browser-/Fachabnahmen, Portal/Altpfad sowie Korrektur/PDF/Abrechnung offen. 15 neue Fälle, S-01–S-06 77/77; 8883/8883 gesamt.</x:v>
      </x:c>
      <x:c r="H77" s="3" t="str">
        <x:v>Die zugeordneten Einzelaufgaben und einschlägigen G01–G28-Prüfungen nachgewiesen; offene Punkte gesichert.</x:v>
      </x:c>
    </x:row>
    <x:row r="78" ht="44" customHeight="1">
      <x:c r="A78" s="3" t="str">
        <x:v>S-P03</x:v>
      </x:c>
      <x:c r="B78" s="3" t="str">
        <x:v>Einsatz und Leistungsnachweise</x:v>
      </x:c>
      <x:c r="C78" s="3" t="str">
        <x:v>S-07, S-08, S-09</x:v>
      </x:c>
      <x:c r="D78" s="3" t="str">
        <x:v>Nachweis korrigieren
Einsatz abschließen
Akuter Notfall</x:v>
      </x:c>
      <x:c r="E78" s="3" t="str">
        <x:v>R-03, E-01</x:v>
      </x:c>
      <x:c r="F78" s="3" t="str">
        <x:v>Teilweise umgesetzt</x:v>
      </x:c>
      <x:c r="G78" s="3" t="str">
        <x:v>CP221: S-07 bleibt append-only; S-08 verlangt den pflichtgesicherten Abschluss; S-09 trennt beobachtetes Notfallereignis, tatsächliche Sofortmaßnahme, Kontaktversuch, tatsächliches Kontaktergebnis, bestätigte Übergabe, Folgeauftrag und Abschluss in einer serversequenzierten Originalhistorie. Versuch ist kein Erfolg, Übergabe referenziert ein erreichtes Ergebnis, Abschluss verlangt Übergabe oder Grund sowie separaten Folgeauftrag. Serverperson/-zeit und vollständiger eingefrorener Retry bleiben erhalten; Android unverändert. Echte SQL/RLS-/Trigger-/Browser-/Pflege-/Design-/Rechtsabnahmen sowie Freigabe-, Portal-, PDF/Export-, Leistungsnachweis- und Folgeabläufe offen. 13 neue Fälle, betroffener Einsatzablauf 86/86; 8920/8920 gesamt.</x:v>
      </x:c>
      <x:c r="H78" s="3" t="str">
        <x:v>Die zugeordneten Einzelaufgaben und einschlägigen G01–G28-Prüfungen nachgewiesen; offene Punkte gesichert.</x:v>
      </x:c>
    </x:row>
    <x:row r="79" ht="44" customHeight="1">
      <x:c r="A79" s="3" t="str">
        <x:v>S-P04</x:v>
      </x:c>
      <x:c r="B79" s="3" t="str">
        <x:v>Einsatz und Leistungsnachweise</x:v>
      </x:c>
      <x:c r="C79" s="3" t="str">
        <x:v>S-10</x:v>
      </x:c>
      <x:c r="D79" s="3" t="str">
        <x:v>Unbekanntes Speicherergebnis klären</x:v>
      </x:c>
      <x:c r="E79" s="3" t="str">
        <x:v>R-03, E-01</x:v>
      </x:c>
      <x:c r="F79" s="3" t="str">
        <x:v>Teilweise umgesetzt</x:v>
      </x:c>
      <x:c r="G79" s="3" t="str">
        <x:v>CP222: S-10 gleicht Notfallanlage, Notfallereignis und Einsatzabschluss rein lesend über Mandant, Person, Anfrage-ID, Vorgangsart und neu berechneten Fingerprint der unveränderten eingefrorenen Nutzlast ab. Nur ein eindeutiger nativer Originalbeleg bestätigt den Vorgang; nicht gefunden bleibt offen, Konflikt sperrt Wiederholung und der Abgleich schreibt nichts. Android unverändert. Weitere Einsatzschreibarten, Reload-/Absturzwiederaufnahme, echte SQL/RLS-/Parallelitäts-/Browser-/Pflege-/Design-/Rechtsabnahmen offen. 17 neue Fälle, Einsatzablauf 103/103; 8937/8937 gesamt.</x:v>
      </x:c>
      <x:c r="H79" s="3" t="str">
        <x:v>Die zugeordneten Einzelaufgaben und einschlägigen G01–G28-Prüfungen nachgewiesen; offene Punkte gesichert.</x:v>
      </x:c>
    </x:row>
    <x:row r="80" ht="44" customHeight="1">
      <x:c r="A80" s="3" t="str">
        <x:v>T-P01</x:v>
      </x:c>
      <x:c r="B80" s="3" t="str">
        <x:v>Finanzierung und Verträge</x:v>
      </x:c>
      <x:c r="C80" s="3" t="str">
        <x:v>T-01, T-02, T-03</x:v>
      </x:c>
      <x:c r="D80" s="3" t="str">
        <x:v>Versorgungsvertrag
Parallele Finanzierungen
Genehmigung und Fristen</x:v>
      </x:c>
      <x:c r="E80" s="3" t="str">
        <x:v>B-07, A-05</x:v>
      </x:c>
      <x:c r="F80" s="3" t="str">
        <x:v>Teilweise umgesetzt</x:v>
      </x:c>
      <x:c r="G80" s="3" t="str">
        <x:v>CP225: T-01 bleibt als dokumentierte Vertragsgrundlage und T-02 als append-only Finanzierungswege getrennt. T-03 ergänzt je exaktem Weg versionierte Anträge und Entscheidungen mit getrennt beantragtem und genehmigtem Zeitraum, Entscheidungsbeleg, exakten Resttagen und Folgeverordnungsfrist. Beantragt, genehmigt, abgelehnt, zurückgezogen, künftig und abgelaufen bleiben getrennt; weder Pfad, Kostenträger noch beantragter Zeitraum erzeugen Anspruch oder Freigabe. Android unverändert. Ausgeführtes SQL/RLS/Composite-FK, autorisierter Schreib-/Ablösepfad, Live-Ablauf, Browser/Pflege/Design/Recht offen. 19 neue Fälle, T-02/T-03 36/36; 8990/8990 gesamt.</x:v>
      </x:c>
      <x:c r="H80" s="3" t="str">
        <x:v>Die zugeordneten Einzelaufgaben und einschlägigen G01–G28-Prüfungen nachgewiesen; offene Punkte gesichert.</x:v>
      </x:c>
    </x:row>
    <x:row r="81" ht="44" customHeight="1">
      <x:c r="A81" s="3" t="str">
        <x:v>T-P02</x:v>
      </x:c>
      <x:c r="B81" s="3" t="str">
        <x:v>Finanzierung und Verträge</x:v>
      </x:c>
      <x:c r="C81" s="3" t="str">
        <x:v>T-04, T-05, T-06</x:v>
      </x:c>
      <x:c r="D81" s="3" t="str">
        <x:v>Tarif und Leistungsposition
Mengen und Geldberechnung
Budgets und Anspruch</x:v>
      </x:c>
      <x:c r="E81" s="3" t="str">
        <x:v>B-07, A-05</x:v>
      </x:c>
      <x:c r="F81" s="3" t="str">
        <x:v>Teilweise umgesetzt</x:v>
      </x:c>
      <x:c r="G81" s="3" t="str">
        <x:v>CP228: T-04/T-05 erhalten historische Tarifpositionen und exakte Berechnung. T-06 ergänzt individuell belegte Anspruchszeiträume und append-only Verbrauchsketten; nur eindeutige aktuelle Kettenköpfe wirken, ersetzte oder stornierte Vorgänger bleiben vollständig historisch erhalten und zählen nicht doppelt. Fremde Scopes, Zeiträume, fehlende/rückwärts erfasste Vorgänger und konkurrierende Nachfolger werden gesperrt. Android unverändert. Ausgeführtes SQL/RLS/Trigger/Parallelität, autorisierter Live-Schreibpfad, Abstimmung mit alten Budgetzählern, echte Leistungs-/Abrechnungsfälle sowie Browser/Pflege/Design/Recht offen. 23 neue Fälle, T-02–T-06 103/103; 9057/9057 gesamt.</x:v>
      </x:c>
      <x:c r="H81" s="3" t="str">
        <x:v>Die zugeordneten Einzelaufgaben und einschlägigen G01–G28-Prüfungen nachgewiesen; offene Punkte gesichert.</x:v>
      </x:c>
    </x:row>
    <x:row r="82" ht="44" customHeight="1">
      <x:c r="A82" s="3" t="str">
        <x:v>T-P03</x:v>
      </x:c>
      <x:c r="B82" s="3" t="str">
        <x:v>Finanzierung und Verträge</x:v>
      </x:c>
      <x:c r="C82" s="3" t="str">
        <x:v>T-07, T-08, T-09</x:v>
      </x:c>
      <x:c r="D82" s="3" t="str">
        <x:v>Kostenvoranschlag
Vertrag ändern oder schließen
Leistungskombinationen prüfen</x:v>
      </x:c>
      <x:c r="E82" s="3" t="str">
        <x:v>B-07, A-05</x:v>
      </x:c>
      <x:c r="F82" s="3" t="str">
        <x:v>Teilweise umgesetzt</x:v>
      </x:c>
      <x:c r="G82" s="3" t="str">
        <x:v>CP231: T-07/T-08 bleiben als unveränderliches Angebot und append-only Vertragslebenszyklus erhalten. T-09 ergänzt datierte Kombinationsregeln je Kostenträger, Finanzierungsart und Leistungspaar sowie fallbezogene Prüfungen mit exakter Regel-ID, Version, Fingerprint, Gültigkeit, Ergebnis und Zuschlag. Ohne eindeutige datumsgültige Regel wird keine Zulässigkeit behauptet; unzulässige Kombinationen nennen konkrete Regel, Referenz und Datum. Android unverändert. SQL/RLS/Trigger/Parallelität, autorisierter Live-Schreibpfad, echte Kostenträgerregeln und Leistungsfälle sowie Browser/Pflege/Design/Recht offen. 34 neue Fälle, T-02–T-09 198/198; 9152/9152 gesamt.</x:v>
      </x:c>
      <x:c r="H82" s="3" t="str">
        <x:v>Die zugeordneten Einzelaufgaben und einschlägigen G01–G28-Prüfungen nachgewiesen; offene Punkte gesichert.</x:v>
      </x:c>
    </x:row>
    <x:row r="83" ht="44" customHeight="1">
      <x:c r="A83" s="3" t="str">
        <x:v>T-P04</x:v>
      </x:c>
      <x:c r="B83" s="3" t="str">
        <x:v>Finanzierung und Verträge</x:v>
      </x:c>
      <x:c r="C83" s="3" t="str">
        <x:v>T-10</x:v>
      </x:c>
      <x:c r="D83" s="3" t="str">
        <x:v>Veränderliche Leistungsansprüche</x:v>
      </x:c>
      <x:c r="E83" s="3" t="str">
        <x:v>B-07, A-05</x:v>
      </x:c>
      <x:c r="F83" s="3" t="str">
        <x:v>Teilweise umgesetzt</x:v>
      </x:c>
      <x:c r="G83" s="3" t="str">
        <x:v>CP232: T-10 ergänzt individuelle, append-only Bescheidfassungen je Pflegefall, Finanzierungsweg und Anspruchsart sowie exakt daran gebundene Verbrauchs-, Korrektur- und Stornoketten. Nur eine datumsgültige individuelle Fassung wird verwendet; allgemeine Regeln und Altansprüche erzeugen keinen aktuellen Anspruch. Rückwirkende Entwertung, Scope-Wechsel, Überlappung und konkurrierende Nachfolger werden gesperrt. Android unverändert. SQL/RLS/Trigger/Parallelität, autorisierter Live-Schreibpfad, echte Bescheide und Verbrauchsfälle sowie Browser/Pflege/Design/Recht offen. 42 neue Fälle, T-02–T-10 240/240; 9194/9194 gesamt.</x:v>
      </x:c>
      <x:c r="H83" s="3" t="str">
        <x:v>Die zugeordneten Einzelaufgaben und einschlägigen G01–G28-Prüfungen nachgewiesen; offene Punkte gesichert.</x:v>
      </x:c>
    </x:row>
    <x:row r="84" ht="44" customHeight="1">
      <x:c r="A84" s="3" t="str">
        <x:v>U-P01</x:v>
      </x:c>
      <x:c r="B84" s="3" t="str">
        <x:v>Abrechnung und Forderungen</x:v>
      </x:c>
      <x:c r="C84" s="3" t="str">
        <x:v>U-01, U-02, U-03</x:v>
      </x:c>
      <x:c r="D84" s="3" t="str">
        <x:v>Abrechnungsgrundlage bilden
Rechnung erstellen
Rechnung freigeben</x:v>
      </x:c>
      <x:c r="E84" s="3" t="str">
        <x:v>S-05, T-04</x:v>
      </x:c>
      <x:c r="F84" s="3" t="str">
        <x:v>Teilweise umgesetzt</x:v>
      </x:c>
      <x:c r="G84" s="3" t="str">
        <x:v>CP235: U-01 bleibt als gebundene Grundlage, U-02 als unveränderlicher Entwurf erhalten. U-03 ergänzt eine eigene versionierte append-only Freigabe mit vollständigem Entwurfs-/Positionssnapshot, Quell- und Dokumentfingerprint, zweiter befugter Identität, Pflichtanschriften, Aussteller-Steuerkennung sowie ausdrücklich geprüften Netto-/Steuerbeträgen und Rechtsgrundlage. Request-ID und Entwurf werden serialisiert; Positionsfolge, Summe und Mikrosekundenfassung werden erneut geprüft. Freigabe ist weder Versand noch Zahlung; Android unverändert. SQL/RLS/Trigger/Parallelität, Live-RPC, echte Pflicht-/Steuerdaten, Dokument/PDF/Signatur sowie Browser/Pflege/Design/Recht offen. 26 neue Fälle; 9270/9270 gesamt.</x:v>
      </x:c>
      <x:c r="H84" s="3" t="str">
        <x:v>Die zugeordneten Einzelaufgaben und einschlägigen G01–G28-Prüfungen nachgewiesen; offene Punkte gesichert.</x:v>
      </x:c>
    </x:row>
    <x:row r="85" ht="44" customHeight="1">
      <x:c r="A85" s="3" t="str">
        <x:v>U-P02</x:v>
      </x:c>
      <x:c r="B85" s="3" t="str">
        <x:v>Abrechnung und Forderungen</x:v>
      </x:c>
      <x:c r="C85" s="3" t="str">
        <x:v>U-04, U-05, U-06</x:v>
      </x:c>
      <x:c r="D85" s="3" t="str">
        <x:v>DTA und Kostenträgerexport
Rückläufer bearbeiten
Storno und Gutschrift</x:v>
      </x:c>
      <x:c r="E85" s="3" t="str">
        <x:v>S-05, T-04</x:v>
      </x:c>
      <x:c r="F85" s="3" t="str">
        <x:v>Teilweise umgesetzt</x:v>
      </x:c>
      <x:c r="G85" s="3" t="str">
        <x:v>CP238: U-04 bleibt als versionsgebundene §105-SGB-XI-Exportprüfung und U-05 als append-only Rückläufer-/Folgeversuchskette erhalten. U-06 ergänzt Originalrechnung, positionsgenaue Gegenbuchung und optionale Neurechnung als unveränderliche Saldokette; Rückläufer, Versand und Zahlung lösen nichts davon automatisch aus. Android unverändert. Echte Transport-, Storno-, Gutschrift- und Neurechnungsbelege, zweistufiger Ersteller-/Prüferprozess, Datenbank-, Buchhaltungs-, Browser-, Pflege-, Design- und Rechtsnachweise bleiben offen. 22 neue Fälle, U-02–U-06 138/138; 9332/9332 gesamt.</x:v>
      </x:c>
      <x:c r="H85" s="3" t="str">
        <x:v>Die zugeordneten Einzelaufgaben und einschlägigen G01–G28-Prüfungen nachgewiesen; offene Punkte gesichert.</x:v>
      </x:c>
    </x:row>
    <x:row r="86" ht="44" customHeight="1">
      <x:c r="A86" s="3" t="str">
        <x:v>U-P03</x:v>
      </x:c>
      <x:c r="B86" s="3" t="str">
        <x:v>Abrechnung und Forderungen</x:v>
      </x:c>
      <x:c r="C86" s="3" t="str">
        <x:v>U-07, U-08, U-09</x:v>
      </x:c>
      <x:c r="D86" s="3" t="str">
        <x:v>Zahlungen und offene Posten
Buchhaltung und Controlling
Mahnwesen</x:v>
      </x:c>
      <x:c r="E86" s="3" t="str">
        <x:v>S-05, T-04</x:v>
      </x:c>
      <x:c r="F86" s="3" t="str">
        <x:v>Teilweise umgesetzt</x:v>
      </x:c>
      <x:c r="G86" s="3" t="str">
        <x:v>CP241: U-07 bleibt als offene-Posten-/Zahlungshistorie und U-08 als kontierte Quellbelegprojektion erhalten. U-09 ergänzt eine gebundene append-only Mahnstufenkette und einen getrennten berechtigten Versand; Teil- oder Vollzahlung wird unmittelbar vor Mahnung und Versand erneut gelesen und aktualisiert oder sperrt. Gebühren, Zinsen und Vollstreckung werden nicht abgeleitet; Android bleibt unverändert. Echte Datenbank-, Zahlungs-, Empfängerberechtigungs-, Versand-/Zustell-, Browser-, Pflege-, Design- und Rechtsnachweise bleiben offen. 34 neue Fälle, U-01–U-09 229/229; 9423/9423 gesamt.</x:v>
      </x:c>
      <x:c r="H86" s="3" t="str">
        <x:v>Die zugeordneten Einzelaufgaben und einschlägigen G01–G28-Prüfungen nachgewiesen; offene Punkte gesichert.</x:v>
      </x:c>
    </x:row>
    <x:row r="87" ht="44" customHeight="1">
      <x:c r="A87" s="3" t="str">
        <x:v>U-P04</x:v>
      </x:c>
      <x:c r="B87" s="3" t="str">
        <x:v>Abrechnung und Forderungen</x:v>
      </x:c>
      <x:c r="C87" s="3" t="str">
        <x:v>U-10, U-11, U-12</x:v>
      </x:c>
      <x:c r="D87" s="3" t="str">
        <x:v>Bank und Einzugsmandat
Eigenanteil und Zuzahlung
Abrechnungsperioden abschließen</x:v>
      </x:c>
      <x:c r="E87" s="3" t="str">
        <x:v>S-05, T-04</x:v>
      </x:c>
      <x:c r="F87" s="3" t="str">
        <x:v>Teilweise umgesetzt</x:v>
      </x:c>
      <x:c r="G87" s="3" t="str">
        <x:v>CP244: U-10 bleibt als mandats- und zahlungsgebundener Einzugspfad und U-11 als positionsgenaue Kostenanteilsfeststellung erhalten. U-12 ergänzt einen append-only Periodenabschluss mit exakten Grenzen, Stichtag, vollständiger Rechnungsfassungsbindung, Summe, Null-Offene-Fälle-Gate und authentifiziertem Freigabebeleg. Spätere Änderungen werden nur als belegte Folge in einer späteren Korrekturperiode erfasst und ändern den Ursprungsabschluss nicht. Versand und Zahlung werden nicht abgeleitet; Android bleibt unverändert. 35 neue Fälle, U-01–U-12 332/332 und 9526/9526 gesamt. Echte Datenbank-, Perioden-/Rechnungs-/Freigabe-/Korrekturbelege, Browser-, Pflege-, Design- und Rechtsnachweise bleiben offen.</x:v>
      </x:c>
      <x:c r="H87" s="3" t="str">
        <x:v>Die zugeordneten Einzelaufgaben und einschlägigen G01–G28-Prüfungen nachgewiesen; offene Punkte gesichert.</x:v>
      </x:c>
    </x:row>
    <x:row r="88" ht="44" customHeight="1">
      <x:c r="A88" s="3" t="str">
        <x:v>V-P01</x:v>
      </x:c>
      <x:c r="B88" s="3" t="str">
        <x:v>Qualität und Prüfungen</x:v>
      </x:c>
      <x:c r="C88" s="3" t="str">
        <x:v>V-01, V-02, V-03</x:v>
      </x:c>
      <x:c r="D88" s="3" t="str">
        <x:v>QM-Dokumente versionieren
Qualitätsprüfungsnachweise
Beschwerden bearbeiten</x:v>
      </x:c>
      <x:c r="E88" s="3" t="str">
        <x:v>E-01, D-07</x:v>
      </x:c>
      <x:c r="F88" s="3" t="str">
        <x:v>Teilweise umgesetzt</x:v>
      </x:c>
      <x:c r="G88" s="3" t="str">
        <x:v>CP246: V-01 bleibt als native QM-Fassungsreferenz und V-02 als QPR-Anforderungs-/Aktenstellenzuordnung erhalten. V-03 ergänzt eine append-only Beschwerdeakte mit Empfänger, Frist und getrennten Untersuchungs-, Antwort-, Abschluss- und Wiederaufnahmeereignissen. Abschluss verlangt Untersuchung, belegte Antwort, Ergebnisbeleg, aktuelle Referenzen und Schließrecht; Zufriedenheit und Pflege-/Aufgabenabschluss werden nicht abgeleitet. Android bleibt unverändert. 40 neue Risikofälle. Echte Datenbank-, Beschwerde-/Empfänger-/Frist-/Untersuchungs-/Antwort-/Ergebnis-, Browser-, Pflege-, Design- und Rechtsnachweise bleiben offen.</x:v>
      </x:c>
      <x:c r="H88" s="3" t="str">
        <x:v>Die zugeordneten Einzelaufgaben und einschlägigen G01–G28-Prüfungen nachgewiesen; offene Punkte gesichert.</x:v>
      </x:c>
    </x:row>
    <x:row r="89" ht="44" customHeight="1">
      <x:c r="A89" s="3" t="str">
        <x:v>V-P02</x:v>
      </x:c>
      <x:c r="B89" s="3" t="str">
        <x:v>Qualität und Prüfungen</x:v>
      </x:c>
      <x:c r="C89" s="3" t="str">
        <x:v>V-04, V-05, V-06</x:v>
      </x:c>
      <x:c r="D89" s="3" t="str">
        <x:v>Fehler und Beinahefehler
Sturz und sonstige Ereignisanalyse
Pflegevisiten organisieren</x:v>
      </x:c>
      <x:c r="E89" s="3" t="str">
        <x:v>E-01, D-07</x:v>
      </x:c>
      <x:c r="F89" s="3" t="str">
        <x:v>Teilweise umgesetzt</x:v>
      </x:c>
      <x:c r="G89" s="3" t="str">
        <x:v>CP248: V-04 bleibt als getrennte Fehler-/Beinahefehlerakte mit vollständig unterdrückten Kleinstkohorten erhalten. V-05 ergänzt eine append-only Sturz-/Ereignisanalyse mit gebundener Fehlerakte und Pflegehistorie sowie getrennten Ursachen-, Pflegeplananpassungs-, Beobachtungs-, Wiederholungsprüfungs-, Abschluss- und Wiederaufnahmeereignissen. Plantermin und tatsächliche Prüfung bleiben getrennt; Pflegeabschluss, Ereignisauflösung und klinische Ursachensicherheit werden nicht abgeleitet. V-06 bleibt mit nativer Visitenoriginalhistorie erhalten. Android bleibt unverändert. 45 neue Risikofälle, 9684/9684 gesamt. Echte Datenbank-, Realfall-, Pflegeplan-/Wiederholungsprüfungs-, Browser-, Pflege-, Design- und Rechtsnachweise bleiben offen.</x:v>
      </x:c>
      <x:c r="H89" s="3" t="str">
        <x:v>Die zugeordneten Einzelaufgaben und einschlägigen G01–G28-Prüfungen nachgewiesen; offene Punkte gesichert.</x:v>
      </x:c>
    </x:row>
    <x:row r="90" ht="44" customHeight="1">
      <x:c r="A90" s="3" t="str">
        <x:v>V-P03</x:v>
      </x:c>
      <x:c r="B90" s="3" t="str">
        <x:v>Qualität und Prüfungen</x:v>
      </x:c>
      <x:c r="C90" s="3" t="str">
        <x:v>V-07, V-08</x:v>
      </x:c>
      <x:c r="D90" s="3" t="str">
        <x:v>Qualitätsmaßnahmen nachhalten
Fachliche Abnahme durchführen</x:v>
      </x:c>
      <x:c r="E90" s="3" t="str">
        <x:v>E-01, D-07</x:v>
      </x:c>
      <x:c r="F90" s="3" t="str">
        <x:v>Teilweise umgesetzt</x:v>
      </x:c>
      <x:c r="G90" s="3" t="str">
        <x:v>CP250: V-07 bleibt als append-only Maßnahmennachhaltung erhalten. V-08 ergänzt eine append-only pflegefachliche Abnahmeakte für eine exakt gebundene Prüffassung. Prüfauftrag, qualifizierte Prüferidentität, reale Szenarien, tatsächliche Ergebnisse, Einschränkungen mit Verantwortung/Prüffrist, Entscheidung und Wiederaufnahme bleiben getrennt. Positive Fachabnahme verlangt alle erforderlichen tatsächlich bestandenen und referenzierten Szenarien sowie Qualifikations-, Szenario- und Entscheidungsoriginale; Softwaretests bleiben nur ergänzend. Release-, Rechts-, Designfreigabe und klinische Durchführung werden nicht abgeleitet. Android unverändert. 56 neue Risikofälle, 9788/9788 gesamt. Echte Datenbank-, Pflegefachpersonen-, Realfall-, Browser-, Pflege-, Design- und Rechtsnachweise bleiben offen.</x:v>
      </x:c>
      <x:c r="H90" s="3" t="str">
        <x:v>Die zugeordneten Einzelaufgaben und einschlägigen G01–G28-Prüfungen nachgewiesen; offene Punkte gesichert.</x:v>
      </x:c>
    </x:row>
    <x:row r="91" ht="44" customHeight="1">
      <x:c r="A91" s="3" t="str">
        <x:v>W-P01</x:v>
      </x:c>
      <x:c r="B91" s="3" t="str">
        <x:v>Kommunikation und Portale</x:v>
      </x:c>
      <x:c r="C91" s="3" t="str">
        <x:v>W-01, W-02, W-03</x:v>
      </x:c>
      <x:c r="D91" s="3" t="str">
        <x:v>Übergabe erstellen
Aufgabe und Eskalation
Mitarbeiterportal</x:v>
      </x:c>
      <x:c r="E91" s="3" t="str">
        <x:v>A-03, B-04</x:v>
      </x:c>
      <x:c r="F91" s="3" t="str">
        <x:v>Teilweise umgesetzt</x:v>
      </x:c>
      <x:c r="G91" s="3" t="str">
        <x:v>CP253: W-01 bleibt als fassungsgebundener append-only Übergabekern und W-02 mit nativ verknüpftem vollständigem Kontrollverlauf erhalten. W-03 beseitigt im lokalen Web/Desktop-Service den tenantweiten Klientenaktenread: nur eigene sichtbare Nicht-Entwurfs-Einsätze erzeugen den erlaubten Pflegefallumfang; fremde, verborgene, doppelte oder unvollständige Antworten schließen den gesamten Read. Primär-/Notfallkontakte bleiben begrenzt. Ein nicht ausgeführter SQL-Patch ersetzt die weiten Policies für Klienten, Adressen, Kontakte, Einsätze, Dokumente und Intake-Vorschauen durch dieselbe eigene Zuweisungsgrenze. 12 neue Risikofälle, 170/170 betroffene Suiten und 9837/9837 gesamt. Teamkalender und weitere direkte Pfade sowie echte SQL/RLS/Live-SDK-, Rollen-, Browser-, Pflege-, Design- und Rechtsabnahmen offen.</x:v>
      </x:c>
      <x:c r="H91" s="3" t="str">
        <x:v>Die zugeordneten Einzelaufgaben und einschlägigen G01–G28-Prüfungen nachgewiesen; offene Punkte gesichert.</x:v>
      </x:c>
    </x:row>
    <x:row r="92" ht="44" customHeight="1">
      <x:c r="A92" s="3" t="str">
        <x:v>W-P02</x:v>
      </x:c>
      <x:c r="B92" s="3" t="str">
        <x:v>Kommunikation und Portale</x:v>
      </x:c>
      <x:c r="C92" s="3" t="str">
        <x:v>W-04, W-05, W-06</x:v>
      </x:c>
      <x:c r="D92" s="3" t="str">
        <x:v>Klientenportal
Angehörigenportal
Sichere Nachrichten</x:v>
      </x:c>
      <x:c r="E92" s="3" t="str">
        <x:v>A-03, B-04</x:v>
      </x:c>
      <x:c r="F92" s="3" t="str">
        <x:v>Teilweise umgesetzt</x:v>
      </x:c>
      <x:c r="G92" s="3" t="str">
        <x:v>CP256: W-04/W-05 bleiben serverautoritativ begrenzt. W-06 trennt jetzt lokale Annahme von tatsächlicher Zustellung, normalisiert Zustell- und Lesestatus gemeinsam mit mikrosekundengenauer Zeitfolge und lässt fehlgeschlagene Zustellung nie als zugestellt oder gelesen erscheinen. Ein nicht ausgeführter SQL-Patch schützt Status-/Zeitketten und bindet Lesebestätigungen an dieselbe Nachricht. 14 neue Risikofälle, 9879/9879 gesamt. Transportquittungen, Altbestandsvalidierung, Absender-/Empfänger-/Zweckbindung, der ältere Office-Nachrichtenpfad sowie echte Live-SDK-/SQL-/RLS-/Browser-, Pflege-, Design-, Datenschutz- und Rechtsabnahmen offen.</x:v>
      </x:c>
      <x:c r="H92" s="3" t="str">
        <x:v>Die zugeordneten Einzelaufgaben und einschlägigen G01–G28-Prüfungen nachgewiesen; offene Punkte gesichert.</x:v>
      </x:c>
    </x:row>
    <x:row r="93" ht="44" customHeight="1">
      <x:c r="A93" s="3" t="str">
        <x:v>W-P03</x:v>
      </x:c>
      <x:c r="B93" s="3" t="str">
        <x:v>Kommunikation und Portale</x:v>
      </x:c>
      <x:c r="C93" s="3" t="str">
        <x:v>W-07, W-08, W-09</x:v>
      </x:c>
      <x:c r="D93" s="3" t="str">
        <x:v>Benachrichtigungen
Rückmeldung nachhalten
KIM-Anbindung</x:v>
      </x:c>
      <x:c r="E93" s="3" t="str">
        <x:v>A-03, B-04</x:v>
      </x:c>
      <x:c r="F93" s="3" t="str">
        <x:v>Teilweise umgesetzt</x:v>
      </x:c>
      <x:c r="G93" s="3" t="str">
        <x:v>CP258: W-07 behält den inhaltsneutralen serverseitigen Push-Umschlag. W-08 trennt beim Öffnen eines Chats den Lesebeleg vom ausdrücklichen Arbeitsstatus und projiziert Anfrage, Kontaktversuche, Antworten und offene Folgeschritte fail-closed; selbst bestätigter Kommunikationsabschluss bestimmt keinen Aufgabenabschluss. Sechs neue Risikofälle, 9890/9890 gesamt. Echte Aufgaben-/Folgeschrittbindung, SQL-/RLS-/Live-SDK-/Browser- sowie Pflege-, Design-, Datenschutz- und Rechtsabnahmen offen; W-09 ist noch nicht umgesetzt.</x:v>
      </x:c>
      <x:c r="H93" s="3" t="str">
        <x:v>Die zugeordneten Einzelaufgaben und einschlägigen G01–G28-Prüfungen nachgewiesen; offene Punkte gesichert.</x:v>
      </x:c>
    </x:row>
    <x:row r="94" ht="44" customHeight="1">
      <x:c r="A94" s="3" t="str">
        <x:v>W-P04</x:v>
      </x:c>
      <x:c r="B94" s="3" t="str">
        <x:v>Kommunikation und Portale</x:v>
      </x:c>
      <x:c r="C94" s="3" t="str">
        <x:v>W-10, W-11, W-12</x:v>
      </x:c>
      <x:c r="D94" s="3" t="str">
        <x:v>Elektronische Patientenakte
Weitere Schnittstellen
Koordinierte Fallbesprechung</x:v>
      </x:c>
      <x:c r="E94" s="3" t="str">
        <x:v>A-03, B-04</x:v>
      </x:c>
      <x:c r="F94" s="3" t="str">
        <x:v>Offen</x:v>
      </x:c>
      <x:c r="G94" s="3" t="str">
        <x:v>Vorhandenen Daten- und UI-Pfad feststellen. Konkrete Restarbeit für jede ID festhalten.</x:v>
      </x:c>
      <x:c r="H94" s="3" t="str">
        <x:v>Die zugeordneten Einzelaufgaben und einschlägigen G01–G28-Prüfungen nachgewiesen; offene Punkte gesichert.</x:v>
      </x:c>
    </x:row>
    <x:row r="95" ht="44" customHeight="1">
      <x:c r="A95" s="3" t="str">
        <x:v>X-P01</x:v>
      </x:c>
      <x:c r="B95" s="3" t="str">
        <x:v>Datenschutz und rechtliche Nachweise</x:v>
      </x:c>
      <x:c r="C95" s="3" t="str">
        <x:v>X-01, X-02, X-03</x:v>
      </x:c>
      <x:c r="D95" s="3" t="str">
        <x:v>Rechtsgrundlagen zuordnen
Einwilligung und Widerruf
Datenschutzverträge und Anbieter</x:v>
      </x:c>
      <x:c r="E95" s="3" t="str">
        <x:v>A-03, B-04</x:v>
      </x:c>
      <x:c r="F95" s="3" t="str">
        <x:v>Offen</x:v>
      </x:c>
      <x:c r="G95" s="3" t="str">
        <x:v>Vorhandenen Daten- und UI-Pfad feststellen. Konkrete Restarbeit für jede ID festhalten.</x:v>
      </x:c>
      <x:c r="H95" s="3" t="str">
        <x:v>Die zugeordneten Einzelaufgaben und einschlägigen G01–G28-Prüfungen nachgewiesen; offene Punkte gesichert.</x:v>
      </x:c>
    </x:row>
    <x:row r="96" ht="44" customHeight="1">
      <x:c r="A96" s="3" t="str">
        <x:v>X-P02</x:v>
      </x:c>
      <x:c r="B96" s="3" t="str">
        <x:v>Datenschutz und rechtliche Nachweise</x:v>
      </x:c>
      <x:c r="C96" s="3" t="str">
        <x:v>X-04, X-05, X-06</x:v>
      </x:c>
      <x:c r="D96" s="3" t="str">
        <x:v>Aufbewahrung und Löschung
Auskunft und Datenexport
Zugriffsprotokoll</x:v>
      </x:c>
      <x:c r="E96" s="3" t="str">
        <x:v>A-03, B-04</x:v>
      </x:c>
      <x:c r="F96" s="3" t="str">
        <x:v>Teilprüfung</x:v>
      </x:c>
      <x:c r="G96" s="3" t="str">
        <x:v>CP37/38: Evaluations-Teilexport lokal mit Kontextgrenzen, Originalverlauf und Fehlerfällen geprüft. Vollständige Auskunft, Identitäts-/Berechtigungsprüfung, Aufbewahrung und Zugriffsprotokoll bleiben offen.</x:v>
      </x:c>
      <x:c r="H96" s="3" t="str">
        <x:v>Die zugeordneten Einzelaufgaben und einschlägigen G01–G28-Prüfungen nachgewiesen; offene Punkte gesichert.</x:v>
      </x:c>
    </x:row>
    <x:row r="97" ht="44" customHeight="1">
      <x:c r="A97" s="3" t="str">
        <x:v>X-P03</x:v>
      </x:c>
      <x:c r="B97" s="3" t="str">
        <x:v>Datenschutz und rechtliche Nachweise</x:v>
      </x:c>
      <x:c r="C97" s="3" t="str">
        <x:v>X-07, X-08</x:v>
      </x:c>
      <x:c r="D97" s="3" t="str">
        <x:v>Informationssicherheit und Vorfälle
Rechtliche Fachprüfung</x:v>
      </x:c>
      <x:c r="E97" s="3" t="str">
        <x:v>A-03, B-04</x:v>
      </x:c>
      <x:c r="F97" s="3" t="str">
        <x:v>Offen</x:v>
      </x:c>
      <x:c r="G97" s="3" t="str">
        <x:v>Vorhandenen Daten- und UI-Pfad feststellen. Konkrete Restarbeit für jede ID festhalten.</x:v>
      </x:c>
      <x:c r="H97" s="3" t="str">
        <x:v>Die zugeordneten Einzelaufgaben und einschlägigen G01–G28-Prüfungen nachgewiesen; offene Punkte gesichert.</x:v>
      </x:c>
    </x:row>
    <x:row r="98" ht="44" customHeight="1">
      <x:c r="A98" s="3" t="str">
        <x:v>Y-P01</x:v>
      </x:c>
      <x:c r="B98" s="3" t="str">
        <x:v>Technik und Bedienbarkeit</x:v>
      </x:c>
      <x:c r="C98" s="3" t="str">
        <x:v>Y-01, Y-02, Y-03</x:v>
      </x:c>
      <x:c r="D98" s="3" t="str">
        <x:v>Persistenz und Fehlerzustände
Unterbrochene Schreibvorgänge
Parallelbearbeitung</x:v>
      </x:c>
      <x:c r="E98" s="3" t="str">
        <x:v>A-03, A-04</x:v>
      </x:c>
      <x:c r="F98" s="3" t="str">
        <x:v>Teilweise umgesetzt</x:v>
      </x:c>
      <x:c r="G98" s="3" t="str">
        <x:v>CP132: Ungewisse Writes und bewiesene Nichtwrites getrennt; Reload/SQL/RLS offen.</x:v>
      </x:c>
      <x:c r="H98" s="3" t="str">
        <x:v>Die zugeordneten Einzelaufgaben und einschlägigen G01–G28-Prüfungen nachgewiesen; offene Punkte gesichert.</x:v>
      </x:c>
    </x:row>
    <x:row r="99" ht="44" customHeight="1">
      <x:c r="A99" s="3" t="str">
        <x:v>Y-P02</x:v>
      </x:c>
      <x:c r="B99" s="3" t="str">
        <x:v>Technik und Bedienbarkeit</x:v>
      </x:c>
      <x:c r="C99" s="3" t="str">
        <x:v>Y-04, Y-05, Y-06</x:v>
      </x:c>
      <x:c r="D99" s="3" t="str">
        <x:v>Offline und Synchronisierung
Import und Migration
Sicherung und Wiederherstellung</x:v>
      </x:c>
      <x:c r="E99" s="3" t="str">
        <x:v>A-03, A-04</x:v>
      </x:c>
      <x:c r="F99" s="3" t="str">
        <x:v>Offen</x:v>
      </x:c>
      <x:c r="G99" s="3" t="str">
        <x:v>Vorhandenen Daten- und UI-Pfad feststellen. Konkrete Restarbeit für jede ID festhalten.</x:v>
      </x:c>
      <x:c r="H99" s="3" t="str">
        <x:v>Die zugeordneten Einzelaufgaben und einschlägigen G01–G28-Prüfungen nachgewiesen; offene Punkte gesichert.</x:v>
      </x:c>
    </x:row>
    <x:row r="100" ht="44" customHeight="1">
      <x:c r="A100" s="3" t="str">
        <x:v>Y-P03</x:v>
      </x:c>
      <x:c r="B100" s="3" t="str">
        <x:v>Technik und Bedienbarkeit</x:v>
      </x:c>
      <x:c r="C100" s="3" t="str">
        <x:v>Y-07, Y-08, Y-09</x:v>
      </x:c>
      <x:c r="D100" s="3" t="str">
        <x:v>Web und Desktop Design
Barrierearme Bedienung
Performance und vollständige Listen</x:v>
      </x:c>
      <x:c r="E100" s="3" t="str">
        <x:v>A-03, A-04</x:v>
      </x:c>
      <x:c r="F100" s="3" t="str">
        <x:v>Teilweise umgesetzt</x:v>
      </x:c>
      <x:c r="G100" s="3" t="str">
        <x:v>Checkpoint 20: sechs strukturierte Behandlungspflegeprofile und tatsächliche Quellenbezüge vorbereitet; 55 neue lokale Fälle bestanden. Einzelkriterien und tatsächliche Datenbank-/Bedienungs-/Fach-/Rechtsabnahme offen.</x:v>
      </x:c>
      <x:c r="H100" s="3" t="str">
        <x:v>Die zugeordneten Einzelaufgaben und einschlägigen G01–G28-Prüfungen nachgewiesen; offene Punkte gesichert.</x:v>
      </x:c>
    </x:row>
    <x:row r="101" ht="44" customHeight="1">
      <x:c r="A101" s="3" t="str">
        <x:v>Y-P04</x:v>
      </x:c>
      <x:c r="B101" s="3" t="str">
        <x:v>Technik und Bedienbarkeit</x:v>
      </x:c>
      <x:c r="C101" s="3" t="str">
        <x:v>Y-10, Y-11, Y-12</x:v>
      </x:c>
      <x:c r="D101" s="3" t="str">
        <x:v>Release und Betriebsprüfung
Absturz und Sitzungsabbruch
Android-Kompatibilität erhalten</x:v>
      </x:c>
      <x:c r="E101" s="3" t="str">
        <x:v>A-03, A-04</x:v>
      </x:c>
      <x:c r="F101" s="3" t="str">
        <x:v>Teilweise umgesetzt</x:v>
      </x:c>
      <x:c r="G101" s="3" t="str">
        <x:v>Checkpoint 12: interne Arbeitsfortsetzung A-09 tatsächlich wiederhergestellt; Assessment-Anfragen und Versionsschutz lokal erweitert. Übrige Einzelkriterien und echte Laufzeitabnahme bleiben offen.</x:v>
      </x:c>
      <x:c r="H101" s="3" t="str">
        <x:v>Die zugeordneten Einzelaufgaben und einschlägigen G01–G28-Prüfungen nachgewiesen; offene Punkte gesichert.</x:v>
      </x:c>
    </x:row>
    <x:row r="102" ht="44" customHeight="1">
      <x:c r="A102" s="3" t="str">
        <x:v>Z-P01</x:v>
      </x:c>
      <x:c r="B102" s="3" t="str">
        <x:v>Innovation und Entlastung</x:v>
      </x:c>
      <x:c r="C102" s="3" t="str">
        <x:v>Z-01, Z-02, Z-03</x:v>
      </x:c>
      <x:c r="D102" s="3" t="str">
        <x:v>Sprachentwurf
Dokumentationsassistenz
Widerspruchserkennung</x:v>
      </x:c>
      <x:c r="E102" s="3" t="str">
        <x:v>Jeweils zugehöriger bestätigter Fachablauf</x:v>
      </x:c>
      <x:c r="F102" s="3" t="str">
        <x:v>Offen</x:v>
      </x:c>
      <x:c r="G102" s="3" t="str">
        <x:v>Vorhandenen Daten- und UI-Pfad feststellen. Konkrete Restarbeit für jede ID festhalten.</x:v>
      </x:c>
      <x:c r="H102" s="3" t="str">
        <x:v>Die zugeordneten Einzelaufgaben und einschlägigen G01–G28-Prüfungen nachgewiesen; offene Punkte gesichert.</x:v>
      </x:c>
    </x:row>
    <x:row r="103" ht="44" customHeight="1">
      <x:c r="A103" s="3" t="str">
        <x:v>Z-P02</x:v>
      </x:c>
      <x:c r="B103" s="3" t="str">
        <x:v>Innovation und Entlastung</x:v>
      </x:c>
      <x:c r="C103" s="3" t="str">
        <x:v>Z-04, Z-05, Z-06</x:v>
      </x:c>
      <x:c r="D103" s="3" t="str">
        <x:v>Aufgaben bündeln
Tourenvorschläge
Intelligente Verlaufsübersicht</x:v>
      </x:c>
      <x:c r="E103" s="3" t="str">
        <x:v>Jeweils zugehöriger bestätigter Fachablauf</x:v>
      </x:c>
      <x:c r="F103" s="3" t="str">
        <x:v>Teilweise umgesetzt</x:v>
      </x:c>
      <x:c r="G103" s="3" t="str">
        <x:v>CP26: persönliche Fristerinnerungen und getrennter Zustellungsfachkern. 90 neue Fälle, 966/966 kumulativ. Dauerhafter Versandadapter, SDK/SQL/RLS, Web- und Fach-/Rechtsabnahme offen.</x:v>
      </x:c>
      <x:c r="H103" s="3" t="str">
        <x:v>Die zugeordneten Einzelaufgaben und einschlägigen G01–G28-Prüfungen nachgewiesen; offene Punkte gesichert.</x:v>
      </x:c>
    </x:row>
    <x:row r="104" ht="44" customHeight="1">
      <x:c r="A104" s="3" t="str">
        <x:v>Z-P03</x:v>
      </x:c>
      <x:c r="B104" s="3" t="str">
        <x:v>Innovation und Entlastung</x:v>
      </x:c>
      <x:c r="C104" s="3" t="str">
        <x:v>Z-07, Z-08</x:v>
      </x:c>
      <x:c r="D104" s="3" t="str">
        <x:v>Datensparsame Angehörigeninformation
Innovationen bewerten</x:v>
      </x:c>
      <x:c r="E104" s="3" t="str">
        <x:v>Jeweils zugehöriger bestätigter Fachablauf</x:v>
      </x:c>
      <x:c r="F104" s="3" t="str">
        <x:v>Offen</x:v>
      </x:c>
      <x:c r="G104" s="3" t="str">
        <x:v>CP155: Aktuelle native Kontaktansicht mit getrennten Kategorien/Beziehungen/Erreichbarkeit; Portalvermerke sind keine Freigaben. 72 neue Fälle, 6505 Tests. Pflege-/Design-/Rechts-/Portalabnahmen offen.</x:v>
      </x:c>
      <x:c r="H104" s="3" t="str">
        <x:v>Die zugeordneten Einzelaufgaben und einschlägigen G01–G28-Prüfungen nachgewiesen; offene Punkte gesichert.</x:v>
      </x:c>
    </x:row>
  </x:sheetData>
  <x:dataValidations count="1">
    <x:dataValidation type="list" sqref="F8:F104">
      <x:formula1>"Offen,Begonnen mit Teilprüfung,In Bearbeitung,Paket fachlich geprüft,Abgeschlossen"</x:formula1>
    </x:dataValidation>
  </x:dataValidations>
  <x:pageMargins left="0.7" right="0.7" top="0.75" bottom="0.75" header="0.3" footer="0.3"/>
  <x:tableParts count="1">
    <x:tablePart xmlns:r="http://schemas.openxmlformats.org/officeDocument/2006/relationships" r:id="R22257d24cdc24e13"/>
  </x:tableParts>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2" hidden="0" customWidth="1"/>
    <x:col min="2" max="2" width="21" hidden="0" customWidth="1"/>
    <x:col min="3" max="3" width="39" hidden="0" customWidth="1"/>
    <x:col min="4" max="4" width="98" hidden="0" customWidth="1"/>
    <x:col min="5" max="5" width="21" hidden="0" customWidth="1"/>
    <x:col min="6" max="6" width="78" hidden="0" customWidth="1"/>
  </x:cols>
  <x:sheetData>
    <x:row r="1" ht="24" customHeight="1">
      <x:c r="A1" s="11"/>
      <x:c r="B1" s="11"/>
      <x:c r="C1" s="11"/>
      <x:c r="D1" s="11"/>
      <x:c r="E1" s="11"/>
      <x:c r="F1" s="11"/>
    </x:row>
    <x:row r="2" ht="30" customHeight="1">
      <x:c r="A2" s="13" t="str">
        <x:v>Gemeinsame Abnahmebedingungen</x:v>
      </x:c>
      <x:c r="B2" s="11"/>
      <x:c r="C2" s="11"/>
      <x:c r="D2" s="11"/>
      <x:c r="E2" s="11"/>
      <x:c r="F2" s="11"/>
    </x:row>
    <x:row r="3" ht="24" customHeight="1">
      <x:c r="A3" s="11" t="str">
        <x:v>G01–G21 pro einschlägiger Fachaufgabe prüfen. G22–G28 zusätzlich als gemeinsame Betriebs- und Freigabebedingungen nachweisen.</x:v>
      </x:c>
      <x:c r="B3" s="11"/>
      <x:c r="C3" s="11"/>
      <x:c r="D3" s="11"/>
      <x:c r="E3" s="11"/>
      <x:c r="F3" s="11"/>
    </x:row>
    <x:row r="4" ht="24" customHeight="1">
      <x:c r="A4" s="11" t="str">
        <x:v>Entfällt nur mit konkreter begründeter Prüfung im Nachweis. Ein Prüfergebnis ohne Beleg ergibt keine Abnahme.</x:v>
      </x:c>
      <x:c r="B4" s="11"/>
      <x:c r="C4" s="11"/>
      <x:c r="D4" s="11"/>
      <x:c r="E4" s="11"/>
      <x:c r="F4" s="11"/>
    </x:row>
    <x:row r="5" ht="44" customHeight="1">
      <x:c r="A5" s="3"/>
      <x:c r="B5" s="3"/>
      <x:c r="C5" s="3"/>
      <x:c r="D5" s="3"/>
      <x:c r="E5" s="3"/>
      <x:c r="F5" s="3"/>
    </x:row>
    <x:row r="6" ht="34" customHeight="1">
      <x:c r="A6" s="9" t="str">
        <x:v>ID</x:v>
      </x:c>
      <x:c r="B6" s="9" t="str">
        <x:v>Prüfbereich</x:v>
      </x:c>
      <x:c r="C6" s="9" t="str">
        <x:v>Prüfpunkt</x:v>
      </x:c>
      <x:c r="D6" s="9" t="str">
        <x:v>Erforderlicher Nachweis</x:v>
      </x:c>
      <x:c r="E6" s="9" t="str">
        <x:v>Status</x:v>
      </x:c>
      <x:c r="F6" s="9" t="str">
        <x:v>Ergebnis und Beleg</x:v>
      </x:c>
    </x:row>
    <x:row r="7" ht="44" customHeight="1">
      <x:c r="A7" s="3" t="str">
        <x:v>G01</x:v>
      </x:c>
      <x:c r="B7" s="3" t="str">
        <x:v>Funktion</x:v>
      </x:c>
      <x:c r="C7" s="3" t="str">
        <x:v>Realer Datenpfad</x:v>
      </x:c>
      <x:c r="D7" s="3" t="str">
        <x:v>Anzeigen, Schreiben, erneutes Laden und Export verwenden die tatsächlichen Daten. Keine Demo-Fallbacks im produktiven Ablauf.</x:v>
      </x:c>
      <x:c r="E7" s="3" t="str">
        <x:v>Offen</x:v>
      </x:c>
      <x:c r="F7" s="3" t="str"/>
    </x:row>
    <x:row r="8" ht="44" customHeight="1">
      <x:c r="A8" s="3" t="str">
        <x:v>G02</x:v>
      </x:c>
      <x:c r="B8" s="3" t="str">
        <x:v>Funktion</x:v>
      </x:c>
      <x:c r="C8" s="3" t="str">
        <x:v>Pflichtangaben und Grenzen</x:v>
      </x:c>
      <x:c r="D8" s="3" t="str">
        <x:v>Erforderliche Felder, Format, Einheiten, Extremwerte, leere Eingabe und zulässige Nullwerte prüfen.</x:v>
      </x:c>
      <x:c r="E8" s="3" t="str">
        <x:v>Offen</x:v>
      </x:c>
      <x:c r="F8" s="3" t="str"/>
    </x:row>
    <x:row r="9" ht="44" customHeight="1">
      <x:c r="A9" s="3" t="str">
        <x:v>G03</x:v>
      </x:c>
      <x:c r="B9" s="3" t="str">
        <x:v>Funktion</x:v>
      </x:c>
      <x:c r="C9" s="3" t="str">
        <x:v>Mandanten und Personen</x:v>
      </x:c>
      <x:c r="D9" s="3" t="str">
        <x:v>Fremder Mandant, falscher Klient, inaktives Profil und fehlendes Recht können weder lesen noch schreiben.</x:v>
      </x:c>
      <x:c r="E9" s="3" t="str">
        <x:v>Offen</x:v>
      </x:c>
      <x:c r="F9" s="3" t="str"/>
    </x:row>
    <x:row r="10" ht="44" customHeight="1">
      <x:c r="A10" s="3" t="str">
        <x:v>G04</x:v>
      </x:c>
      <x:c r="B10" s="3" t="str">
        <x:v>Funktion</x:v>
      </x:c>
      <x:c r="C10" s="3" t="str">
        <x:v>Ereignis und Erfassungszeit</x:v>
      </x:c>
      <x:c r="D10" s="3" t="str">
        <x:v>Tatsächlicher Zeitpunkt, Serverzeit, Zeitzone und Sommerzeitwechsel getrennt prüfen. Historische Unklarheit bleibt sichtbar.</x:v>
      </x:c>
      <x:c r="E10" s="3" t="str">
        <x:v>Offen</x:v>
      </x:c>
      <x:c r="F10" s="3" t="str"/>
    </x:row>
    <x:row r="11" ht="44" customHeight="1">
      <x:c r="A11" s="3" t="str">
        <x:v>G05</x:v>
      </x:c>
      <x:c r="B11" s="3" t="str">
        <x:v>Funktion</x:v>
      </x:c>
      <x:c r="C11" s="3" t="str">
        <x:v>Unveränderbare Historie</x:v>
      </x:c>
      <x:c r="D11" s="3" t="str">
        <x:v>Original, Nachtrag, Korrekturgrund, bestätigte Fassung und Signaturbezug erhalten. Keine stillen rückwirkenden Änderungen.</x:v>
      </x:c>
      <x:c r="E11" s="3" t="str">
        <x:v>Offen</x:v>
      </x:c>
      <x:c r="F11" s="3" t="str"/>
    </x:row>
    <x:row r="12" ht="44" customHeight="1">
      <x:c r="A12" s="3" t="str">
        <x:v>G06</x:v>
      </x:c>
      <x:c r="B12" s="3" t="str">
        <x:v>Funktion</x:v>
      </x:c>
      <x:c r="C12" s="3" t="str">
        <x:v>Verlorene Antwort und Wiederholung</x:v>
      </x:c>
      <x:c r="D12" s="3" t="str">
        <x:v>Gleiche Anfrage mit identischen Daten erzeugt genau ein Ergebnis. Geänderte Wiederholung wird verweigert.</x:v>
      </x:c>
      <x:c r="E12" s="3" t="str">
        <x:v>Offen</x:v>
      </x:c>
      <x:c r="F12" s="3" t="str"/>
    </x:row>
    <x:row r="13" ht="44" customHeight="1">
      <x:c r="A13" s="3" t="str">
        <x:v>G07</x:v>
      </x:c>
      <x:c r="B13" s="3" t="str">
        <x:v>Funktion</x:v>
      </x:c>
      <x:c r="C13" s="3" t="str">
        <x:v>Parallelbearbeitung</x:v>
      </x:c>
      <x:c r="D13" s="3" t="str">
        <x:v>Zwei Bearbeitende mit verschiedenen Versionsständen erzeugen keinen unbemerkten Verlust fachlicher Änderungen.</x:v>
      </x:c>
      <x:c r="E13" s="3" t="str">
        <x:v>Offen</x:v>
      </x:c>
      <x:c r="F13" s="3" t="str"/>
    </x:row>
    <x:row r="14" ht="44" customHeight="1">
      <x:c r="A14" s="3" t="str">
        <x:v>G08</x:v>
      </x:c>
      <x:c r="B14" s="3" t="str">
        <x:v>Funktion</x:v>
      </x:c>
      <x:c r="C14" s="3" t="str">
        <x:v>Listen und Datenmengen</x:v>
      </x:c>
      <x:c r="D14" s="3" t="str">
        <x:v>Mehrere Abfrageseiten, Filter, Sortierung, Suche, historische Einträge und lange Akten vollständig prüfen.</x:v>
      </x:c>
      <x:c r="E14" s="3" t="str">
        <x:v>Offen</x:v>
      </x:c>
      <x:c r="F14" s="3" t="str"/>
    </x:row>
    <x:row r="15" ht="44" customHeight="1">
      <x:c r="A15" s="3" t="str">
        <x:v>G09</x:v>
      </x:c>
      <x:c r="B15" s="3" t="str">
        <x:v>Funktion</x:v>
      </x:c>
      <x:c r="C15" s="3" t="str">
        <x:v>Fehler und Navigation</x:v>
      </x:c>
      <x:c r="D15" s="3" t="str">
        <x:v>Lade-, Leer-, Fehler- und Erfolgszustand, sofortiger Doppelklick, Abbruch, Wiederaufnahme und ungespeicherte Änderungen prüfen.</x:v>
      </x:c>
      <x:c r="E15" s="3" t="str">
        <x:v>Offen</x:v>
      </x:c>
      <x:c r="F15" s="3" t="str"/>
    </x:row>
    <x:row r="16" ht="44" customHeight="1">
      <x:c r="A16" s="3" t="str">
        <x:v>G10</x:v>
      </x:c>
      <x:c r="B16" s="3" t="str">
        <x:v>Pflege</x:v>
      </x:c>
      <x:c r="C16" s="3" t="str">
        <x:v>Individuelle Fachlichkeit</x:v>
      </x:c>
      <x:c r="D16" s="3" t="str">
        <x:v>Konkrete Ressourcen, Bedürfnisse, Risiken, ärztliche Grundlage und individuelle Vereinbarung prüfen. Keine schematische Ersatzentscheidung.</x:v>
      </x:c>
      <x:c r="E16" s="3" t="str">
        <x:v>Offen</x:v>
      </x:c>
      <x:c r="F16" s="3" t="str"/>
    </x:row>
    <x:row r="17" ht="44" customHeight="1">
      <x:c r="A17" s="3" t="str">
        <x:v>G11</x:v>
      </x:c>
      <x:c r="B17" s="3" t="str">
        <x:v>Pflege</x:v>
      </x:c>
      <x:c r="C17" s="3" t="str">
        <x:v>Nichtdurchführung</x:v>
      </x:c>
      <x:c r="D17" s="3" t="str">
        <x:v>Teilweise Durchführung, Ablehnung, Nichtgabe, fehlender Zugang und Rückmeldung sind fachlich eigene Ergebnisse.</x:v>
      </x:c>
      <x:c r="E17" s="3" t="str">
        <x:v>Offen</x:v>
      </x:c>
      <x:c r="F17" s="3" t="str"/>
    </x:row>
    <x:row r="18" ht="44" customHeight="1">
      <x:c r="A18" s="3" t="str">
        <x:v>G12</x:v>
      </x:c>
      <x:c r="B18" s="3" t="str">
        <x:v>Pflege</x:v>
      </x:c>
      <x:c r="C18" s="3" t="str">
        <x:v>Reaktion und Kontrolle</x:v>
      </x:c>
      <x:c r="D18" s="3" t="str">
        <x:v>Auffälligkeit führt zu zuständiger Reaktion, Rückmeldung, Kontrolle und nachvollziehbarem Abschluss.</x:v>
      </x:c>
      <x:c r="E18" s="3" t="str">
        <x:v>Offen</x:v>
      </x:c>
      <x:c r="F18" s="3" t="str"/>
    </x:row>
    <x:row r="19" ht="44" customHeight="1">
      <x:c r="A19" s="3" t="str">
        <x:v>G13</x:v>
      </x:c>
      <x:c r="B19" s="3" t="str">
        <x:v>Pflege</x:v>
      </x:c>
      <x:c r="C19" s="3" t="str">
        <x:v>Qualifikation und Delegation</x:v>
      </x:c>
      <x:c r="D19" s="3" t="str">
        <x:v>Tätigkeit, freigegebene Kompetenz, notwendige zweite Person und Grenzen der Delegation prüfen.</x:v>
      </x:c>
      <x:c r="E19" s="3" t="str">
        <x:v>Offen</x:v>
      </x:c>
      <x:c r="F19" s="3" t="str"/>
    </x:row>
    <x:row r="20" ht="44" customHeight="1">
      <x:c r="A20" s="3" t="str">
        <x:v>G14</x:v>
      </x:c>
      <x:c r="B20" s="3" t="str">
        <x:v>Pflege</x:v>
      </x:c>
      <x:c r="C20" s="3" t="str">
        <x:v>Fachliche Praxisszenarien</x:v>
      </x:c>
      <x:c r="D20" s="3" t="str">
        <x:v>Geeignete Pflegefachpersonen prüfen repräsentative normale, abweichende und kritische Abläufe mit dokumentiertem Ergebnis.</x:v>
      </x:c>
      <x:c r="E20" s="3" t="str">
        <x:v>Offen</x:v>
      </x:c>
      <x:c r="F20" s="3" t="str"/>
    </x:row>
    <x:row r="21" ht="44" customHeight="1">
      <x:c r="A21" s="3" t="str">
        <x:v>G15</x:v>
      </x:c>
      <x:c r="B21" s="3" t="str">
        <x:v>Design</x:v>
      </x:c>
      <x:c r="C21" s="3" t="str">
        <x:v>Breite und schmale Ansicht</x:v>
      </x:c>
      <x:c r="D21" s="3" t="str">
        <x:v>Echter Browser: Navigation offen, schmale Fläche, lange Inhalte, geänderte Fenstergröße und erreichbare Aktionen prüfen.</x:v>
      </x:c>
      <x:c r="E21" s="3" t="str">
        <x:v>Offen</x:v>
      </x:c>
      <x:c r="F21" s="3" t="str"/>
    </x:row>
    <x:row r="22" ht="44" customHeight="1">
      <x:c r="A22" s="3" t="str">
        <x:v>G16</x:v>
      </x:c>
      <x:c r="B22" s="3" t="str">
        <x:v>Design</x:v>
      </x:c>
      <x:c r="C22" s="3" t="str">
        <x:v>Lesbarkeit und Eingaben</x:v>
      </x:c>
      <x:c r="D22" s="3" t="str">
        <x:v>Kontrast, eindeutige Beschriftung, Einheit, Fehlerplatzierung, Fokus, Tastatur und Schriftvergrößerung prüfen.</x:v>
      </x:c>
      <x:c r="E22" s="3" t="str">
        <x:v>Offen</x:v>
      </x:c>
      <x:c r="F22" s="3" t="str"/>
    </x:row>
    <x:row r="23" ht="44" customHeight="1">
      <x:c r="A23" s="3" t="str">
        <x:v>G17</x:v>
      </x:c>
      <x:c r="B23" s="3" t="str">
        <x:v>Design</x:v>
      </x:c>
      <x:c r="C23" s="3" t="str">
        <x:v>Zusammenhängender Arbeitsablauf</x:v>
      </x:c>
      <x:c r="D23" s="3" t="str">
        <x:v>Klientenkontext, Verordnungsstand, wichtige Risiken und nächste Handlung bleiben über den gesamten Ablauf eindeutig.</x:v>
      </x:c>
      <x:c r="E23" s="3" t="str">
        <x:v>Offen</x:v>
      </x:c>
      <x:c r="F23" s="3" t="str"/>
    </x:row>
    <x:row r="24" ht="44" customHeight="1">
      <x:c r="A24" s="3" t="str">
        <x:v>G18</x:v>
      </x:c>
      <x:c r="B24" s="3" t="str">
        <x:v>Recht</x:v>
      </x:c>
      <x:c r="C24" s="3" t="str">
        <x:v>Aktuelle Grundlage</x:v>
      </x:c>
      <x:c r="D24" s="3" t="str">
        <x:v>Rechts-, Vertrags-, Landes-, Fach- und Formatgrundlage mit konkreter Fassung prüfen. Keine universelle Konformitätsbehauptung.</x:v>
      </x:c>
      <x:c r="E24" s="3" t="str">
        <x:v>Offen</x:v>
      </x:c>
      <x:c r="F24" s="3" t="str"/>
    </x:row>
    <x:row r="25" ht="44" customHeight="1">
      <x:c r="A25" s="3" t="str">
        <x:v>G19</x:v>
      </x:c>
      <x:c r="B25" s="3" t="str">
        <x:v>Recht</x:v>
      </x:c>
      <x:c r="C25" s="3" t="str">
        <x:v>Modell und Rechte an Vorlagen</x:v>
      </x:c>
      <x:c r="D25" s="3" t="str">
        <x:v>SIS, Assessmentinstrumente, Herstellerunterlagen und Abbildungen auf aktuelle Nutzungsbedingungen prüfen. Eigene Spezifikation statt Kopie.</x:v>
      </x:c>
      <x:c r="E25" s="3" t="str">
        <x:v>Offen</x:v>
      </x:c>
      <x:c r="F25" s="3" t="str"/>
    </x:row>
    <x:row r="26" ht="44" customHeight="1">
      <x:c r="A26" s="3" t="str">
        <x:v>G20</x:v>
      </x:c>
      <x:c r="B26" s="3" t="str">
        <x:v>Recht</x:v>
      </x:c>
      <x:c r="C26" s="3" t="str">
        <x:v>Datenschutz und Vertretung</x:v>
      </x:c>
      <x:c r="D26" s="3" t="str">
        <x:v>Zweck, Rechtsgrundlage, Datenminimierung, Vollmacht, Widerruf, Aufbewahrung und betroffene Dokumentart prüfen.</x:v>
      </x:c>
      <x:c r="E26" s="3" t="str">
        <x:v>Offen</x:v>
      </x:c>
      <x:c r="F26" s="3" t="str"/>
    </x:row>
    <x:row r="27" ht="44" customHeight="1">
      <x:c r="A27" s="3" t="str">
        <x:v>G21</x:v>
      </x:c>
      <x:c r="B27" s="3" t="str">
        <x:v>Recht</x:v>
      </x:c>
      <x:c r="C27" s="3" t="str">
        <x:v>Nachweis und Bestätigung</x:v>
      </x:c>
      <x:c r="D27" s="3" t="str">
        <x:v>Authentifizierte Person, bestätigter Inhalt, Zeitpunkt und Berechtigungsumfang nachweisen. Namensauswahl ist keine zweite Signatur.</x:v>
      </x:c>
      <x:c r="E27" s="3" t="str">
        <x:v>Offen</x:v>
      </x:c>
      <x:c r="F27" s="3" t="str"/>
    </x:row>
    <x:row r="28" ht="44" customHeight="1">
      <x:c r="A28" s="3" t="str">
        <x:v>G22</x:v>
      </x:c>
      <x:c r="B28" s="3" t="str">
        <x:v>Betrieb</x:v>
      </x:c>
      <x:c r="C28" s="3" t="str">
        <x:v>Android und Altschnittstellen</x:v>
      </x:c>
      <x:c r="D28" s="3" t="str">
        <x:v>Vorhandene App und direkte Schreibwege gegen jeden geänderten API- oder Datenbankvertrag prüfen. Keine Freigabe bei offenem Bruch.</x:v>
      </x:c>
      <x:c r="E28" s="3" t="str">
        <x:v>Offen</x:v>
      </x:c>
      <x:c r="F28" s="3" t="str"/>
    </x:row>
    <x:row r="29" ht="44" customHeight="1">
      <x:c r="A29" s="3" t="str">
        <x:v>G23</x:v>
      </x:c>
      <x:c r="B29" s="3" t="str">
        <x:v>Betrieb</x:v>
      </x:c>
      <x:c r="C29" s="3" t="str">
        <x:v>Isolierte Prüfung</x:v>
      </x:c>
      <x:c r="D29" s="3" t="str">
        <x:v>SQL nur in isolierter Testdatenbank prüfen. Keine Testschreibvorgänge, Patches oder Migrationen auf produktiven Daten.</x:v>
      </x:c>
      <x:c r="E29" s="3" t="str">
        <x:v>Offen</x:v>
      </x:c>
      <x:c r="F29" s="3" t="str"/>
    </x:row>
    <x:row r="30" ht="44" customHeight="1">
      <x:c r="A30" s="3" t="str">
        <x:v>G24</x:v>
      </x:c>
      <x:c r="B30" s="3" t="str">
        <x:v>Betrieb</x:v>
      </x:c>
      <x:c r="C30" s="3" t="str">
        <x:v>Wiederherstellung</x:v>
      </x:c>
      <x:c r="D30" s="3" t="str">
        <x:v>Gesicherte Arbeitspakete, Quelldateien und Prüfnachweise lassen sich ohne Push wiederherstellen. Regelmäßig Wiederherstellung probeweise prüfen.</x:v>
      </x:c>
      <x:c r="E30" s="3" t="str">
        <x:v>Offen</x:v>
      </x:c>
      <x:c r="F30" s="3" t="str"/>
    </x:row>
    <x:row r="31" ht="44" customHeight="1">
      <x:c r="A31" s="3" t="str">
        <x:v>G25</x:v>
      </x:c>
      <x:c r="B31" s="3" t="str">
        <x:v>Betrieb</x:v>
      </x:c>
      <x:c r="C31" s="3" t="str">
        <x:v>Schnittstellenende</x:v>
      </x:c>
      <x:c r="D31" s="3" t="str">
        <x:v>Absender, Transport, empfangene Daten, Zuordnung und Fehlerbehandlung tatsächlich nachweisen. Dateierzeugung allein reicht nicht.</x:v>
      </x:c>
      <x:c r="E31" s="3" t="str">
        <x:v>Offen</x:v>
      </x:c>
      <x:c r="F31" s="3" t="str"/>
    </x:row>
    <x:row r="32" ht="44" customHeight="1">
      <x:c r="A32" s="3" t="str">
        <x:v>G26</x:v>
      </x:c>
      <x:c r="B32" s="3" t="str">
        <x:v>Betrieb</x:v>
      </x:c>
      <x:c r="C32" s="3" t="str">
        <x:v>Prüfbericht pro Paket</x:v>
      </x:c>
      <x:c r="D32" s="3" t="str">
        <x:v>Geänderte Dateien, tatsächliche Tests, Einschränkungen, offene Abnahmen und nächster Schritt werden vor Abschluss gesichert.</x:v>
      </x:c>
      <x:c r="E32" s="3" t="str">
        <x:v>Offen</x:v>
      </x:c>
      <x:c r="F32" s="3" t="str"/>
    </x:row>
    <x:row r="33" ht="44" customHeight="1">
      <x:c r="A33" s="3" t="str">
        <x:v>G27</x:v>
      </x:c>
      <x:c r="B33" s="3" t="str">
        <x:v>Innovation</x:v>
      </x:c>
      <x:c r="C33" s="3" t="str">
        <x:v>Nachvollziehbare Assistenz</x:v>
      </x:c>
      <x:c r="D33" s="3" t="str">
        <x:v>Vorschlag, Quelle, Freigabe und Autor sind getrennt. Keine erfundene Pflegehandlung, Diagnose, Dosis oder automatische Fachfreigabe.</x:v>
      </x:c>
      <x:c r="E33" s="3" t="str">
        <x:v>Offen</x:v>
      </x:c>
      <x:c r="F33" s="3" t="str"/>
    </x:row>
    <x:row r="34" ht="44" customHeight="1">
      <x:c r="A34" s="3" t="str">
        <x:v>G28</x:v>
      </x:c>
      <x:c r="B34" s="3" t="str">
        <x:v>Release</x:v>
      </x:c>
      <x:c r="C34" s="3" t="str">
        <x:v>Vollständige Freigabe</x:v>
      </x:c>
      <x:c r="D34" s="3" t="str">
        <x:v>Alle vereinbarten Fachaufgaben und einschlägigen Prüfungen erfüllt, tatsächlicher Betrieb geprüft und Restmängel dokumentiert abgeschlossen. Erst dann Push/Deploy.</x:v>
      </x:c>
      <x:c r="E34" s="3" t="str">
        <x:v>Offen</x:v>
      </x:c>
      <x:c r="F34" s="3" t="str"/>
    </x:row>
    <x:row r="35" ht="44" customHeight="1">
      <x:c r="A35" s="3"/>
      <x:c r="B35" s="3"/>
      <x:c r="C35" s="3"/>
      <x:c r="D35" s="3"/>
      <x:c r="E35" s="3"/>
      <x:c r="F35" s="3"/>
    </x:row>
  </x:sheetData>
  <x:dataValidations count="1">
    <x:dataValidation type="list" sqref="E7:E34">
      <x:formula1>"Offen,Teilprüfung,Bestanden,Entfällt geprüft"</x:formula1>
    </x:dataValidation>
  </x:dataValidations>
  <x:pageMargins left="0.7" right="0.7" top="0.75" bottom="0.75" header="0.3" footer="0.3"/>
  <x:tableParts count="1">
    <x:tablePart xmlns:r="http://schemas.openxmlformats.org/officeDocument/2006/relationships" r:id="Rda7747868b4c4141"/>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5" hidden="0" customWidth="1"/>
    <x:col min="3" max="3" width="48" hidden="0" customWidth="1"/>
    <x:col min="4" max="4" width="69" hidden="0" customWidth="1"/>
    <x:col min="5" max="5" width="83" hidden="0" customWidth="1"/>
    <x:col min="6" max="6" width="95" hidden="0" customWidth="1"/>
  </x:cols>
  <x:sheetData>
    <x:row r="1" ht="24" customHeight="1">
      <x:c r="A1" s="11"/>
      <x:c r="B1" s="11"/>
      <x:c r="C1" s="11"/>
      <x:c r="D1" s="11"/>
      <x:c r="E1" s="11"/>
      <x:c r="F1" s="11"/>
    </x:row>
    <x:row r="2" ht="30" customHeight="1">
      <x:c r="A2" s="13" t="str">
        <x:v>Quellen und weiterer Marktabgleich</x:v>
      </x:c>
      <x:c r="B2" s="11"/>
      <x:c r="C2" s="11"/>
      <x:c r="D2" s="11"/>
      <x:c r="E2" s="11"/>
      <x:c r="F2" s="11"/>
    </x:row>
    <x:row r="3" ht="24" customHeight="1">
      <x:c r="A3" s="11" t="str">
        <x:v>Öffentliche Anbieterunterlagen dienen dem Funktionsvergleich. Werbung belegt keine getestete Funktion und keine rechtliche Freigabe.</x:v>
      </x:c>
      <x:c r="B3" s="11"/>
      <x:c r="C3" s="11"/>
      <x:c r="D3" s="11"/>
      <x:c r="E3" s="11"/>
      <x:c r="F3" s="11"/>
    </x:row>
    <x:row r="4" ht="44" customHeight="1">
      <x:c r="A4" s="3"/>
      <x:c r="B4" s="3"/>
      <x:c r="C4" s="3"/>
      <x:c r="D4" s="3"/>
      <x:c r="E4" s="3"/>
      <x:c r="F4" s="3"/>
    </x:row>
    <x:row r="5" ht="34" customHeight="1">
      <x:c r="A5" s="9" t="str">
        <x:v>ID</x:v>
      </x:c>
      <x:c r="B5" s="9" t="str">
        <x:v>Herausgeber</x:v>
      </x:c>
      <x:c r="C5" s="9" t="str">
        <x:v>Unterlage</x:v>
      </x:c>
      <x:c r="D5" s="9" t="str">
        <x:v>Tatsächlicher Recherchestand</x:v>
      </x:c>
      <x:c r="E5" s="9" t="str">
        <x:v>Nächste Prüfung und Grenzen</x:v>
      </x:c>
      <x:c r="F5" s="9" t="str">
        <x:v>URL</x:v>
      </x:c>
    </x:row>
    <x:row r="6" ht="44" customHeight="1">
      <x:c r="A6" s="3" t="str">
        <x:v>Q00</x:v>
      </x:c>
      <x:c r="B6" s="3" t="str">
        <x:v>Projektanforderungen</x:v>
      </x:c>
      <x:c r="C6" s="3" t="str">
        <x:v>A–Z-Spezifikation</x:v>
      </x:c>
      <x:c r="D6" s="3" t="str">
        <x:v>Nutzerauftrag und eigene fachliche Arbeitsspezifikation</x:v>
      </x:c>
      <x:c r="E6" s="3" t="str">
        <x:v>Keine externe Vollständigkeitszertifizierung. Neue Erkenntnisse ergänzen den Katalog.</x:v>
      </x:c>
      <x:c r="F6" s="3" t="str"/>
    </x:row>
    <x:row r="7" ht="44" customHeight="1">
      <x:c r="A7" s="3" t="str">
        <x:v>Q01</x:v>
      </x:c>
      <x:c r="B7" s="3" t="str">
        <x:v>G-BA</x:v>
      </x:c>
      <x:c r="C7" s="3" t="str">
        <x:v>Häusliche Krankenpflege-Richtlinie</x:v>
      </x:c>
      <x:c r="D7" s="3" t="str">
        <x:v>Offizielle aktuelle Richtlinienseite am 08.10.2026 abgerufen</x:v>
      </x:c>
      <x:c r="E7" s="3" t="str">
        <x:v>Einzelmaßnahmen, Fassung und Fachanforderungen pro Umsetzung vertieft prüfen.</x:v>
      </x:c>
      <x:c r="F7" s="3" t="str">
        <x:v>https://www.g-ba.de/richtlinien/11/</x:v>
      </x:c>
    </x:row>
    <x:row r="8" ht="44" customHeight="1">
      <x:c r="A8" s="3" t="str">
        <x:v>Q02</x:v>
      </x:c>
      <x:c r="B8" s="3" t="str">
        <x:v>EinSTEP</x:v>
      </x:c>
      <x:c r="C8" s="3" t="str">
        <x:v>Strukturmodell und Softwareanforderungen</x:v>
      </x:c>
      <x:c r="D8" s="3" t="str">
        <x:v>Offizielle Downloadseite und Hinweis auf Schulungsfassung 3.1 geprüft</x:v>
      </x:c>
      <x:c r="E8" s="3" t="str">
        <x:v>Softwareanforderungen 3.0/3.1 und Nutzungsbedingungen vor SIS-Abnahme vollständig prüfen.</x:v>
      </x:c>
      <x:c r="F8" s="3" t="str">
        <x:v>https://www.ein-step.de/downloads</x:v>
      </x:c>
    </x:row>
    <x:row r="9" ht="44" customHeight="1">
      <x:c r="A9" s="3" t="str">
        <x:v>Q03</x:v>
      </x:c>
      <x:c r="B9" s="3" t="str">
        <x:v>MD Bund</x:v>
      </x:c>
      <x:c r="C9" s="3" t="str">
        <x:v>QPR ambulante Pflege Teil 1a</x:v>
      </x:c>
      <x:c r="D9" s="3" t="str">
        <x:v>Offizielle aktuelle Grundlage ab 30.07.2026 recherchiert</x:v>
      </x:c>
      <x:c r="E9" s="3" t="str">
        <x:v>304-seitige PDF nicht vollständig einzeln auf Softwareanforderungen abgenommen.</x:v>
      </x:c>
      <x:c r="F9" s="3" t="str">
        <x:v>https://md-bund.de/fileadmin/dokumente/Publikationen/SPV/PV_Qualitaetspruefung/QPR_Teil1a_ambulante_Pflegedienste_2026_07_30.pdf</x:v>
      </x:c>
    </x:row>
    <x:row r="10" ht="44" customHeight="1">
      <x:c r="A10" s="3" t="str">
        <x:v>Q04</x:v>
      </x:c>
      <x:c r="B10" s="3" t="str">
        <x:v>MEDIFOX DAN</x:v>
      </x:c>
      <x:c r="C10" s="3" t="str">
        <x:v>Pflege- und Betreuungsdokumentation</x:v>
      </x:c>
      <x:c r="D10" s="3" t="str">
        <x:v>Öffentliche siebenseitige Produkt-PDF abgerufen</x:v>
      </x:c>
      <x:c r="E10" s="3" t="str">
        <x:v>Funktionsthemen als Vergleichsanstoß. Produktbroschüre belegt keine tatsächliche Konkurrenzabnahme.</x:v>
      </x:c>
      <x:c r="F10" s="3" t="str">
        <x:v>https://www.medifoxdan.de/downloads/md-ambulant/MD_Ambulant_Modul_Pflege-Betreuungsdokumentation.pdf</x:v>
      </x:c>
    </x:row>
    <x:row r="11" ht="44" customHeight="1">
      <x:c r="A11" s="3" t="str">
        <x:v>Q05</x:v>
      </x:c>
      <x:c r="B11" s="3" t="str">
        <x:v>MEDIFOX DAN</x:v>
      </x:c>
      <x:c r="C11" s="3" t="str">
        <x:v>MD Ambulant Gesamtumfang</x:v>
      </x:c>
      <x:c r="D11" s="3" t="str">
        <x:v>Aktuelle öffentliche Produktseite recherchiert</x:v>
      </x:c>
      <x:c r="E11" s="3" t="str">
        <x:v>Modularen Funktionsumfang und Downloads je Teilablauf weiter abgleichen.</x:v>
      </x:c>
      <x:c r="F11" s="3" t="str">
        <x:v>https://www.medifoxdan.de/software-ambulante-pflege</x:v>
      </x:c>
    </x:row>
    <x:row r="12" ht="44" customHeight="1">
      <x:c r="A12" s="3" t="str">
        <x:v>Q06</x:v>
      </x:c>
      <x:c r="B12" s="3" t="str">
        <x:v>myneva</x:v>
      </x:c>
      <x:c r="C12" s="3" t="str">
        <x:v>Ambulante Versorgung</x:v>
      </x:c>
      <x:c r="D12" s="3" t="str">
        <x:v>Öffentliche Broschürenadresse aus vorigem Recherchestand</x:v>
      </x:c>
      <x:c r="E12" s="3" t="str">
        <x:v>Broschüre erneut vollständig auswerten und jede Vergleichsaussage belegen.</x:v>
      </x:c>
      <x:c r="F12" s="3" t="str">
        <x:v>https://www.myneva.eu/hubfs/DE_myneva.swing-Ambulant_brochure.pdf</x:v>
      </x:c>
    </x:row>
    <x:row r="13" ht="44" customHeight="1">
      <x:c r="A13" s="3" t="str">
        <x:v>Q07</x:v>
      </x:c>
      <x:c r="B13" s="3" t="str">
        <x:v>euregon</x:v>
      </x:c>
      <x:c r="C13" s="3" t="str">
        <x:v>snap ambulant</x:v>
      </x:c>
      <x:c r="D13" s="3" t="str">
        <x:v>Offizielle Produktseite und öffentliche Leistungsbeschreibung gefunden</x:v>
      </x:c>
      <x:c r="E13" s="3" t="str">
        <x:v>PDF im nächsten Quellenpaket auswerten. Keine einzelne Funktion als getestet markieren.</x:v>
      </x:c>
      <x:c r="F13" s="3" t="str">
        <x:v>https://www.euregon.de/info/Leistungsbeschreibung-snap-ambulant_euregonAG.pdf</x:v>
      </x:c>
    </x:row>
    <x:row r="14" ht="44" customHeight="1">
      <x:c r="A14" s="3" t="str">
        <x:v>Q08</x:v>
      </x:c>
      <x:c r="B14" s="3" t="str">
        <x:v>CGM</x:v>
      </x:c>
      <x:c r="C14" s="3" t="str">
        <x:v>VIYU ambulant</x:v>
      </x:c>
      <x:c r="D14" s="3" t="str">
        <x:v>Offizielle Produktseite recherchiert</x:v>
      </x:c>
      <x:c r="E14" s="3" t="str">
        <x:v>Ambulante Funktionen, Downloads und Schnittstellen tiefer prüfen.</x:v>
      </x:c>
      <x:c r="F14" s="3" t="str">
        <x:v>https://www.cgm.com/deu_de/loesungen/pflegedienst.html</x:v>
      </x:c>
    </x:row>
    <x:row r="15" ht="44" customHeight="1">
      <x:c r="A15" s="3" t="str">
        <x:v>Q09</x:v>
      </x:c>
      <x:c r="B15" s="3" t="str">
        <x:v>HyCARE</x:v>
      </x:c>
      <x:c r="C15" s="3" t="str">
        <x:v>HyCARE ambulant</x:v>
      </x:c>
      <x:c r="D15" s="3" t="str">
        <x:v>Offizielle ambulante Produktseite recherchiert</x:v>
      </x:c>
      <x:c r="E15" s="3" t="str">
        <x:v>Pflegemanagement, Spezialprofile und Nachweise systematisch abgleichen.</x:v>
      </x:c>
      <x:c r="F15" s="3" t="str">
        <x:v>https://www.hycare.de/produkte/hycare-ambulant/</x:v>
      </x:c>
    </x:row>
    <x:row r="16" ht="44" customHeight="1">
      <x:c r="A16" s="3" t="str">
        <x:v>Q10</x:v>
      </x:c>
      <x:c r="B16" s="3" t="str">
        <x:v>CareSocial</x:v>
      </x:c>
      <x:c r="C16" s="3" t="str">
        <x:v>Pflegesoftware</x:v>
      </x:c>
      <x:c r="D16" s="3" t="str">
        <x:v>Offizielle Produktseite und öffentliche PDF gefunden</x:v>
      </x:c>
      <x:c r="E16" s="3" t="str">
        <x:v>Produktinformationen auf die Aufgaben-IDs abbilden und Unterschiede festhalten.</x:v>
      </x:c>
      <x:c r="F16" s="3" t="str">
        <x:v>https://www.caresocial.de/download/bestellen/CareSocial-INFO.pdf</x:v>
      </x:c>
    </x:row>
    <x:row r="17" ht="44" customHeight="1">
      <x:c r="A17" s="3" t="str">
        <x:v>Q11</x:v>
      </x:c>
      <x:c r="B17" s="3" t="str">
        <x:v>Weitere Anbieter</x:v>
      </x:c>
      <x:c r="C17" s="3" t="str">
        <x:v>Weiterer Marktabgleich</x:v>
      </x:c>
      <x:c r="D17" s="3" t="str">
        <x:v>Rechercheauftrag offen</x:v>
      </x:c>
      <x:c r="E17" s="3" t="str">
        <x:v>opta data, Curasoft und weitere Anbieter mit belegten öffentlichen Quellen ergänzen.</x:v>
      </x:c>
      <x:c r="F17" s="3" t="str"/>
    </x:row>
    <x:row r="18" ht="44" customHeight="1">
      <x:c r="A18" s="3" t="str">
        <x:v>Q12</x:v>
      </x:c>
      <x:c r="B18" s="3" t="str">
        <x:v>Supabase</x:v>
      </x:c>
      <x:c r="C18" s="3" t="str">
        <x:v>Datenbankfunktionen und Sicherheit</x:v>
      </x:c>
      <x:c r="D18" s="3" t="str">
        <x:v>Offizielle Funktionen-Dokumentation geprüft</x:v>
      </x:c>
      <x:c r="E18" s="3" t="str">
        <x:v>SQL-Sicherheit mit isolierten Tests prüfen. Technische Dokumentation ersetzt keine Pflege- oder Rechtsabnahme.</x:v>
      </x:c>
      <x:c r="F18" s="3" t="str">
        <x:v>https://supabase.com/docs/guides/database/functions</x:v>
      </x:c>
    </x:row>
    <x:row r="19" ht="44" customHeight="1">
      <x:c r="A19" s="3" t="str">
        <x:v>Q13</x:v>
      </x:c>
      <x:c r="B19" s="3" t="str">
        <x:v>Gematik und Datenaustausch</x:v>
      </x:c>
      <x:c r="C19" s="3" t="str">
        <x:v>TI, KIM, ePA, DTA</x:v>
      </x:c>
      <x:c r="D19" s="3" t="str">
        <x:v>Detailrecherche offen</x:v>
      </x:c>
      <x:c r="E19" s="3" t="str">
        <x:v>Aktuelle offizielle Spezifikationen, Voraussetzungen und zulässige Prüfwege pro Schnittstelle feststellen.</x:v>
      </x:c>
      <x:c r="F19" s="3" t="str"/>
    </x:row>
    <x:row r="20" ht="44" customHeight="1">
      <x:c r="A20" s="3" t="str">
        <x:v>Q14</x:v>
      </x:c>
      <x:c r="B20" s="3" t="str">
        <x:v>Recht und Fachstandards</x:v>
      </x:c>
      <x:c r="C20" s="3" t="str">
        <x:v>Gesetze, Landesverträge, Expertenstandards</x:v>
      </x:c>
      <x:c r="D20" s="3" t="str">
        <x:v>Konkrete Detailzuordnung offen</x:v>
      </x:c>
      <x:c r="E20" s="3" t="str">
        <x:v>Je Aufgabe aktuelle einschlägige Grundlage und qualifizierte Prüfer festlegen. Keine Fristen oder Therapiegrenzen erfinden.</x:v>
      </x:c>
      <x:c r="F20" s="3" t="str"/>
    </x:row>
    <x:row r="21" ht="44" customHeight="1">
      <x:c r="A21" s="3"/>
      <x:c r="B21" s="3"/>
      <x:c r="C21" s="3"/>
      <x:c r="D21" s="3"/>
      <x:c r="E21" s="3"/>
      <x:c r="F21" s="3"/>
    </x:row>
  </x:sheetData>
  <x:pageMargins left="0.7" right="0.7" top="0.75" bottom="0.75" header="0.3" footer="0.3"/>
  <x:tableParts count="1">
    <x:tablePart xmlns:r="http://schemas.openxmlformats.org/officeDocument/2006/relationships" r:id="R7b8fbc2d9b4040f0"/>
  </x:tableParts>
</x:worksheet>
</file>